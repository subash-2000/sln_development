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updateLinks="always" codeName="ThisWorkbook" defaultThemeVersion="124226"/>
  <bookViews>
    <workbookView xWindow="0" yWindow="0" windowWidth="19185" windowHeight="8640" tabRatio="770" activeTab="2"/>
  </bookViews>
  <sheets>
    <sheet name="Receipt" sheetId="5102" r:id="rId1"/>
    <sheet name="Type Wise Stock" sheetId="5105" r:id="rId2"/>
    <sheet name="Summary" sheetId="5101" r:id="rId3"/>
    <sheet name="Sales Statement" sheetId="5106" r:id="rId4"/>
    <sheet name="Rejection Details" sheetId="5108" r:id="rId5"/>
  </sheets>
  <definedNames>
    <definedName name="_xlnm._FilterDatabase" localSheetId="0" hidden="1">Receipt!$B$4:$T$80</definedName>
    <definedName name="_xlnm._FilterDatabase" localSheetId="3" hidden="1">'Sales Statement'!$B$7:$U$10</definedName>
    <definedName name="_xlnm._FilterDatabase" localSheetId="1" hidden="1">'Type Wise Stock'!$B$4:$R$80</definedName>
    <definedName name="_xlnm.Print_Area" localSheetId="2">Summary!#REF!</definedName>
  </definedNames>
  <calcPr calcId="125725"/>
</workbook>
</file>

<file path=xl/calcChain.xml><?xml version="1.0" encoding="utf-8"?>
<calcChain xmlns="http://schemas.openxmlformats.org/spreadsheetml/2006/main">
  <c r="L7" i="5101"/>
  <c r="M8" i="5106"/>
  <c r="R45" i="5102"/>
  <c r="M45" i="5105"/>
  <c r="K78"/>
  <c r="M78" s="1"/>
  <c r="K77"/>
  <c r="M77" s="1"/>
  <c r="K74"/>
  <c r="M74" s="1"/>
  <c r="K73"/>
  <c r="M73" s="1"/>
  <c r="M64"/>
  <c r="K64"/>
  <c r="K42"/>
  <c r="M42" s="1"/>
  <c r="K41"/>
  <c r="M41" s="1"/>
  <c r="K38"/>
  <c r="M38" s="1"/>
  <c r="K37"/>
  <c r="M37" s="1"/>
  <c r="K31"/>
  <c r="M31" s="1"/>
  <c r="K30"/>
  <c r="M30" s="1"/>
  <c r="K27"/>
  <c r="M27" s="1"/>
  <c r="K22"/>
  <c r="M22" s="1"/>
  <c r="K21"/>
  <c r="M21" s="1"/>
  <c r="K74" i="5102" l="1"/>
  <c r="T74" s="1"/>
  <c r="M74"/>
  <c r="K78"/>
  <c r="T78" s="1"/>
  <c r="K22"/>
  <c r="T22" s="1"/>
  <c r="M22"/>
  <c r="K27"/>
  <c r="M27" s="1"/>
  <c r="K31"/>
  <c r="T31" s="1"/>
  <c r="K38"/>
  <c r="M38" s="1"/>
  <c r="K42"/>
  <c r="T42" s="1"/>
  <c r="K64"/>
  <c r="M64" s="1"/>
  <c r="K73"/>
  <c r="T73" s="1"/>
  <c r="K77"/>
  <c r="T77" s="1"/>
  <c r="K21"/>
  <c r="M21" s="1"/>
  <c r="K41"/>
  <c r="T41" s="1"/>
  <c r="K45"/>
  <c r="M45" s="1"/>
  <c r="K30"/>
  <c r="M30" s="1"/>
  <c r="K37"/>
  <c r="T37" s="1"/>
  <c r="U8" i="5106"/>
  <c r="N8"/>
  <c r="O8" s="1"/>
  <c r="M78" i="5102" l="1"/>
  <c r="T27"/>
  <c r="M31"/>
  <c r="T38"/>
  <c r="M42"/>
  <c r="T64"/>
  <c r="M73"/>
  <c r="M77"/>
  <c r="T21"/>
  <c r="M41"/>
  <c r="T45"/>
  <c r="T30"/>
  <c r="M37"/>
  <c r="U10" i="5106"/>
  <c r="K34" i="5102"/>
  <c r="I34" i="5105" l="1"/>
  <c r="K34"/>
  <c r="I34" i="5102"/>
  <c r="T34"/>
  <c r="K72" i="5105"/>
  <c r="M72" s="1"/>
  <c r="M67"/>
  <c r="K63"/>
  <c r="M63" s="1"/>
  <c r="K62"/>
  <c r="M62" s="1"/>
  <c r="K36"/>
  <c r="M34" i="5102" l="1"/>
  <c r="K63"/>
  <c r="T63" s="1"/>
  <c r="K62"/>
  <c r="K71" i="5105"/>
  <c r="M71" s="1"/>
  <c r="K61"/>
  <c r="M61" s="1"/>
  <c r="M36"/>
  <c r="K35"/>
  <c r="M35" s="1"/>
  <c r="K18"/>
  <c r="M18" s="1"/>
  <c r="M63" i="5102" l="1"/>
  <c r="M67"/>
  <c r="M62"/>
  <c r="K36"/>
  <c r="T36" s="1"/>
  <c r="K72"/>
  <c r="M72" s="1"/>
  <c r="K61"/>
  <c r="M61" s="1"/>
  <c r="K35"/>
  <c r="T35" s="1"/>
  <c r="K18"/>
  <c r="M18" s="1"/>
  <c r="K71"/>
  <c r="T71" s="1"/>
  <c r="M57" i="5105"/>
  <c r="M5"/>
  <c r="M12"/>
  <c r="K70"/>
  <c r="M70" s="1"/>
  <c r="K60"/>
  <c r="M60" s="1"/>
  <c r="M34"/>
  <c r="K17"/>
  <c r="M17" s="1"/>
  <c r="K60" i="5102"/>
  <c r="T60" s="1"/>
  <c r="K17"/>
  <c r="T17" s="1"/>
  <c r="K70"/>
  <c r="T70" s="1"/>
  <c r="K16" i="5105"/>
  <c r="M16" s="1"/>
  <c r="M36" i="5102" l="1"/>
  <c r="T67"/>
  <c r="T62"/>
  <c r="T72"/>
  <c r="T61"/>
  <c r="M35"/>
  <c r="T18"/>
  <c r="M71"/>
  <c r="M60"/>
  <c r="M17"/>
  <c r="M70"/>
  <c r="K16"/>
  <c r="M16" s="1"/>
  <c r="K59" i="5105"/>
  <c r="M59" s="1"/>
  <c r="K48"/>
  <c r="M48" s="1"/>
  <c r="K26"/>
  <c r="M26" s="1"/>
  <c r="K15"/>
  <c r="M15" s="1"/>
  <c r="K59" i="5102"/>
  <c r="M59" s="1"/>
  <c r="K48"/>
  <c r="M48" s="1"/>
  <c r="K26"/>
  <c r="M26" s="1"/>
  <c r="K15"/>
  <c r="M15" s="1"/>
  <c r="K58" i="5105"/>
  <c r="M58" s="1"/>
  <c r="O3"/>
  <c r="K25"/>
  <c r="M25" s="1"/>
  <c r="K14"/>
  <c r="M14" s="1"/>
  <c r="K13"/>
  <c r="M13" s="1"/>
  <c r="P78" l="1"/>
  <c r="P77"/>
  <c r="O78"/>
  <c r="O77"/>
  <c r="O74"/>
  <c r="O73"/>
  <c r="P74"/>
  <c r="P73"/>
  <c r="O64"/>
  <c r="P64"/>
  <c r="O45"/>
  <c r="P45"/>
  <c r="O42"/>
  <c r="O41"/>
  <c r="P42"/>
  <c r="P41"/>
  <c r="O38"/>
  <c r="O37"/>
  <c r="P38"/>
  <c r="P37"/>
  <c r="O31"/>
  <c r="O30"/>
  <c r="P31"/>
  <c r="P30"/>
  <c r="O27"/>
  <c r="P27"/>
  <c r="O22"/>
  <c r="O21"/>
  <c r="P22"/>
  <c r="P21"/>
  <c r="T59" i="5102"/>
  <c r="T48"/>
  <c r="O72" i="5105"/>
  <c r="P72"/>
  <c r="O67"/>
  <c r="P67"/>
  <c r="O63"/>
  <c r="O62"/>
  <c r="P63"/>
  <c r="P62"/>
  <c r="O71"/>
  <c r="P71"/>
  <c r="O61"/>
  <c r="P61"/>
  <c r="O36"/>
  <c r="O35"/>
  <c r="P36"/>
  <c r="P35"/>
  <c r="P18"/>
  <c r="O70"/>
  <c r="P70"/>
  <c r="O60"/>
  <c r="P60"/>
  <c r="P34"/>
  <c r="O34"/>
  <c r="P17"/>
  <c r="O25"/>
  <c r="P16"/>
  <c r="T16" i="5102"/>
  <c r="O6" i="5105"/>
  <c r="O8"/>
  <c r="O10"/>
  <c r="O12"/>
  <c r="O14"/>
  <c r="O5"/>
  <c r="O7"/>
  <c r="O9"/>
  <c r="O11"/>
  <c r="O13"/>
  <c r="O15"/>
  <c r="O26"/>
  <c r="O48"/>
  <c r="O58"/>
  <c r="O56"/>
  <c r="O54"/>
  <c r="O52"/>
  <c r="O59"/>
  <c r="O57"/>
  <c r="O55"/>
  <c r="O53"/>
  <c r="O51"/>
  <c r="T26" i="5102"/>
  <c r="T15"/>
  <c r="K25" l="1"/>
  <c r="M25" s="1"/>
  <c r="K14"/>
  <c r="M14" s="1"/>
  <c r="K58"/>
  <c r="M58" s="1"/>
  <c r="K13"/>
  <c r="T13" s="1"/>
  <c r="K57"/>
  <c r="T57" s="1"/>
  <c r="K12"/>
  <c r="M12" s="1"/>
  <c r="K56" i="5105"/>
  <c r="M56" s="1"/>
  <c r="K55"/>
  <c r="M55" s="1"/>
  <c r="T12" i="5102" l="1"/>
  <c r="T25"/>
  <c r="T14"/>
  <c r="M57"/>
  <c r="T58"/>
  <c r="M13"/>
  <c r="K56"/>
  <c r="T56" s="1"/>
  <c r="K55"/>
  <c r="T55" s="1"/>
  <c r="R24"/>
  <c r="G7" i="5101" s="1"/>
  <c r="K54" i="5105"/>
  <c r="M54" s="1"/>
  <c r="K53"/>
  <c r="M53" s="1"/>
  <c r="K11"/>
  <c r="M11" s="1"/>
  <c r="M56" i="5102" l="1"/>
  <c r="M55"/>
  <c r="K54"/>
  <c r="T54" s="1"/>
  <c r="K53"/>
  <c r="M53" s="1"/>
  <c r="K11"/>
  <c r="M11" s="1"/>
  <c r="K52" i="5105"/>
  <c r="M52" s="1"/>
  <c r="K10"/>
  <c r="M10" s="1"/>
  <c r="M54" i="5102" l="1"/>
  <c r="T53"/>
  <c r="T11"/>
  <c r="K52"/>
  <c r="M52" s="1"/>
  <c r="K10"/>
  <c r="M10" s="1"/>
  <c r="K51" i="5105"/>
  <c r="M51" s="1"/>
  <c r="K51" i="5102"/>
  <c r="M51" s="1"/>
  <c r="T51" l="1"/>
  <c r="T52"/>
  <c r="T10"/>
  <c r="I29" i="5105"/>
  <c r="I24"/>
  <c r="I24" i="5102"/>
  <c r="D19" i="5101"/>
  <c r="I20" i="5105"/>
  <c r="K9"/>
  <c r="M9" s="1"/>
  <c r="K8"/>
  <c r="M8" s="1"/>
  <c r="K9" i="5102"/>
  <c r="T9" s="1"/>
  <c r="K8"/>
  <c r="T8" s="1"/>
  <c r="K29" i="5105"/>
  <c r="K7"/>
  <c r="M7" s="1"/>
  <c r="M24" i="5102" l="1"/>
  <c r="M29" i="5105"/>
  <c r="M24"/>
  <c r="K24"/>
  <c r="K24" i="5102"/>
  <c r="F7" i="5101" s="1"/>
  <c r="E7" s="1"/>
  <c r="M7" s="1"/>
  <c r="M9" i="5102"/>
  <c r="M8"/>
  <c r="K7"/>
  <c r="M7" s="1"/>
  <c r="K6" i="5105"/>
  <c r="M6" s="1"/>
  <c r="T24" i="5102" l="1"/>
  <c r="H7" i="5101" s="1"/>
  <c r="K7" s="1"/>
  <c r="T7" i="5102"/>
  <c r="K6"/>
  <c r="T6" s="1"/>
  <c r="M6" l="1"/>
  <c r="K5" l="1"/>
  <c r="M5" s="1"/>
  <c r="T5" l="1"/>
  <c r="K10" i="5106" l="1"/>
  <c r="I10" l="1"/>
  <c r="J35" i="5108"/>
  <c r="P33"/>
  <c r="P35" s="1"/>
  <c r="L33"/>
  <c r="M33" s="1"/>
  <c r="M35" s="1"/>
  <c r="N33" l="1"/>
  <c r="N35" s="1"/>
  <c r="L35"/>
  <c r="T20" i="5102" l="1"/>
  <c r="M10" i="5106"/>
  <c r="O10" l="1"/>
  <c r="N10"/>
  <c r="I76" i="5105" l="1"/>
  <c r="K76" l="1"/>
  <c r="M76"/>
  <c r="L16" i="5101" s="1"/>
  <c r="J21" i="5108" l="1"/>
  <c r="J11" l="1"/>
  <c r="J23" l="1"/>
  <c r="P21"/>
  <c r="P23" s="1"/>
  <c r="L21"/>
  <c r="L23" s="1"/>
  <c r="J20"/>
  <c r="P18"/>
  <c r="P20" s="1"/>
  <c r="L18"/>
  <c r="M18" s="1"/>
  <c r="J15"/>
  <c r="P15" s="1"/>
  <c r="P17" s="1"/>
  <c r="L15" l="1"/>
  <c r="L17" s="1"/>
  <c r="N18"/>
  <c r="N20" s="1"/>
  <c r="M20"/>
  <c r="M15"/>
  <c r="M17" s="1"/>
  <c r="J17"/>
  <c r="M21"/>
  <c r="M23" s="1"/>
  <c r="L20"/>
  <c r="N15" l="1"/>
  <c r="N17" s="1"/>
  <c r="N21"/>
  <c r="N23" s="1"/>
  <c r="P30" l="1"/>
  <c r="P32" s="1"/>
  <c r="J32"/>
  <c r="L30"/>
  <c r="M30" s="1"/>
  <c r="J29"/>
  <c r="P27"/>
  <c r="P29" s="1"/>
  <c r="L27"/>
  <c r="L29" s="1"/>
  <c r="J24"/>
  <c r="L24" s="1"/>
  <c r="L12"/>
  <c r="P12"/>
  <c r="J26" l="1"/>
  <c r="M27"/>
  <c r="M29" s="1"/>
  <c r="N30"/>
  <c r="N32" s="1"/>
  <c r="M24"/>
  <c r="M26" s="1"/>
  <c r="L26"/>
  <c r="M32"/>
  <c r="P24"/>
  <c r="P26" s="1"/>
  <c r="L32"/>
  <c r="N27"/>
  <c r="N29" s="1"/>
  <c r="M12"/>
  <c r="N12" s="1"/>
  <c r="N24" l="1"/>
  <c r="N26" s="1"/>
  <c r="J14" l="1"/>
  <c r="P11"/>
  <c r="P14" s="1"/>
  <c r="L11"/>
  <c r="L14" s="1"/>
  <c r="M11" l="1"/>
  <c r="M14" s="1"/>
  <c r="N11" l="1"/>
  <c r="N14" s="1"/>
  <c r="J5" l="1"/>
  <c r="M69" i="5105" l="1"/>
  <c r="L15" i="5101" s="1"/>
  <c r="M44" i="5105"/>
  <c r="L11" i="5101" s="1"/>
  <c r="L8"/>
  <c r="M20" i="5105"/>
  <c r="L6" i="5101" s="1"/>
  <c r="I66" i="5105"/>
  <c r="I80"/>
  <c r="I69"/>
  <c r="K50"/>
  <c r="I50"/>
  <c r="M50"/>
  <c r="L13" i="5101" s="1"/>
  <c r="I47" i="5105"/>
  <c r="I44"/>
  <c r="I40"/>
  <c r="I33"/>
  <c r="P3"/>
  <c r="P14" l="1"/>
  <c r="P12"/>
  <c r="P10"/>
  <c r="P8"/>
  <c r="P6"/>
  <c r="P15"/>
  <c r="P13"/>
  <c r="P11"/>
  <c r="P9"/>
  <c r="P7"/>
  <c r="P5"/>
  <c r="P25"/>
  <c r="P26"/>
  <c r="P48"/>
  <c r="P51"/>
  <c r="P53"/>
  <c r="P55"/>
  <c r="P57"/>
  <c r="P59"/>
  <c r="P52"/>
  <c r="P54"/>
  <c r="P56"/>
  <c r="P58"/>
  <c r="Q56"/>
  <c r="Q55"/>
  <c r="K69"/>
  <c r="K40"/>
  <c r="K20"/>
  <c r="K44"/>
  <c r="M40"/>
  <c r="L10" i="5101" s="1"/>
  <c r="M47" i="5105"/>
  <c r="L12" i="5101" s="1"/>
  <c r="K33" i="5105"/>
  <c r="K66"/>
  <c r="M66"/>
  <c r="L14" i="5101" s="1"/>
  <c r="M33" i="5105"/>
  <c r="L9" i="5101" s="1"/>
  <c r="K80" i="5105"/>
  <c r="K47"/>
  <c r="M80"/>
  <c r="L17" i="5101" s="1"/>
  <c r="I33" i="5102" l="1"/>
  <c r="M33" l="1"/>
  <c r="K33" l="1"/>
  <c r="F9" i="5101" s="1"/>
  <c r="L8" i="5108" l="1"/>
  <c r="M8" s="1"/>
  <c r="N8" s="1"/>
  <c r="P8"/>
  <c r="J10" l="1"/>
  <c r="P10"/>
  <c r="L10"/>
  <c r="J7"/>
  <c r="P5"/>
  <c r="P7" s="1"/>
  <c r="L5"/>
  <c r="L7" s="1"/>
  <c r="Q3"/>
  <c r="Q33" s="1"/>
  <c r="Q18" l="1"/>
  <c r="Q21"/>
  <c r="Q15"/>
  <c r="Q12"/>
  <c r="Q30"/>
  <c r="Q24"/>
  <c r="Q27"/>
  <c r="Q11"/>
  <c r="Q5"/>
  <c r="Q8"/>
  <c r="M10"/>
  <c r="M5"/>
  <c r="M7" s="1"/>
  <c r="N10" l="1"/>
  <c r="N5"/>
  <c r="N7" s="1"/>
  <c r="C19" i="5101" l="1"/>
  <c r="M80" i="5102" l="1"/>
  <c r="R80"/>
  <c r="G17" i="5101" s="1"/>
  <c r="I17" s="1"/>
  <c r="I80" i="5102"/>
  <c r="R76"/>
  <c r="I76"/>
  <c r="G16" i="5101" l="1"/>
  <c r="I16" s="1"/>
  <c r="M76" i="5102"/>
  <c r="T76"/>
  <c r="T80"/>
  <c r="K80"/>
  <c r="F17" i="5101" s="1"/>
  <c r="E17" s="1"/>
  <c r="M17" s="1"/>
  <c r="K76" i="5102"/>
  <c r="F16" i="5101" s="1"/>
  <c r="E16" s="1"/>
  <c r="M16" s="1"/>
  <c r="H16" l="1"/>
  <c r="K16" s="1"/>
  <c r="H17"/>
  <c r="K17" s="1"/>
  <c r="I69" i="5102"/>
  <c r="I66"/>
  <c r="R69"/>
  <c r="G15" i="5101" s="1"/>
  <c r="I15" s="1"/>
  <c r="R66" i="5102"/>
  <c r="G14" i="5101" s="1"/>
  <c r="I14" s="1"/>
  <c r="K69" i="5102" l="1"/>
  <c r="F15" i="5101" s="1"/>
  <c r="E15" s="1"/>
  <c r="M15" s="1"/>
  <c r="M69" i="5102"/>
  <c r="T69"/>
  <c r="H15" i="5101" s="1"/>
  <c r="T66" i="5102"/>
  <c r="H14" i="5101" s="1"/>
  <c r="M66" i="5102"/>
  <c r="K66"/>
  <c r="F14" i="5101" l="1"/>
  <c r="E14" s="1"/>
  <c r="M14" s="1"/>
  <c r="K15"/>
  <c r="K14"/>
  <c r="I50" i="5102" l="1"/>
  <c r="R50" l="1"/>
  <c r="G13" i="5101" s="1"/>
  <c r="I13" s="1"/>
  <c r="K50" i="5102"/>
  <c r="F13" i="5101" s="1"/>
  <c r="E13" s="1"/>
  <c r="M13" s="1"/>
  <c r="M50" i="5102"/>
  <c r="T50" l="1"/>
  <c r="H13" i="5101" l="1"/>
  <c r="K13" s="1"/>
  <c r="T44" i="5102" l="1"/>
  <c r="H11" i="5101" s="1"/>
  <c r="T29" i="5102" l="1"/>
  <c r="H8" i="5101" s="1"/>
  <c r="R33" i="5102"/>
  <c r="G9" i="5101" s="1"/>
  <c r="R20" i="5102"/>
  <c r="I7" i="5101" s="1"/>
  <c r="I20" i="5102"/>
  <c r="K8" i="5101" l="1"/>
  <c r="K20" i="5102"/>
  <c r="M20" l="1"/>
  <c r="L3" i="5101"/>
  <c r="H6" l="1"/>
  <c r="K6" s="1"/>
  <c r="T33" i="5102"/>
  <c r="H9" i="5101" l="1"/>
  <c r="I47" i="5102"/>
  <c r="I44"/>
  <c r="I40"/>
  <c r="I29"/>
  <c r="K9" i="5101" l="1"/>
  <c r="R47" i="5102"/>
  <c r="K47"/>
  <c r="T47"/>
  <c r="H12" i="5101" s="1"/>
  <c r="M47" i="5102"/>
  <c r="F12" i="5101" l="1"/>
  <c r="E12" s="1"/>
  <c r="M12" s="1"/>
  <c r="K12"/>
  <c r="G12"/>
  <c r="I12" s="1"/>
  <c r="I9"/>
  <c r="R29" i="5102"/>
  <c r="G8" i="5101" s="1"/>
  <c r="K29" i="5102"/>
  <c r="G6" i="5101"/>
  <c r="I6" s="1"/>
  <c r="F6"/>
  <c r="E6" s="1"/>
  <c r="R44" i="5102"/>
  <c r="G11" i="5101" s="1"/>
  <c r="I11" s="1"/>
  <c r="K44" i="5102"/>
  <c r="F11" i="5101" s="1"/>
  <c r="E11" s="1"/>
  <c r="M11" s="1"/>
  <c r="K11"/>
  <c r="R40" i="5102"/>
  <c r="G10" i="5101" s="1"/>
  <c r="I10" s="1"/>
  <c r="K40" i="5102"/>
  <c r="F10" i="5101" s="1"/>
  <c r="E10" s="1"/>
  <c r="M10" s="1"/>
  <c r="T40" i="5102"/>
  <c r="F8" i="5101" l="1"/>
  <c r="E8" s="1"/>
  <c r="M8" s="1"/>
  <c r="M6"/>
  <c r="G19"/>
  <c r="H10"/>
  <c r="H19" s="1"/>
  <c r="E9"/>
  <c r="M29" i="5102"/>
  <c r="M40"/>
  <c r="M44"/>
  <c r="E19" i="5101" l="1"/>
  <c r="D21" s="1"/>
  <c r="F19"/>
  <c r="M9"/>
  <c r="M19" s="1"/>
  <c r="I8"/>
  <c r="I19" s="1"/>
  <c r="K10"/>
  <c r="K19" s="1"/>
  <c r="E12" i="5106"/>
  <c r="L19" i="5101" l="1"/>
</calcChain>
</file>

<file path=xl/sharedStrings.xml><?xml version="1.0" encoding="utf-8"?>
<sst xmlns="http://schemas.openxmlformats.org/spreadsheetml/2006/main" count="579" uniqueCount="141">
  <si>
    <t>Rece Date</t>
  </si>
  <si>
    <t>Basic Value</t>
  </si>
  <si>
    <t>Quntity Lifted by SKF</t>
  </si>
  <si>
    <t>Total</t>
  </si>
  <si>
    <t>Inv Date</t>
  </si>
  <si>
    <t>Age of Days</t>
  </si>
  <si>
    <t>Inv Value</t>
  </si>
  <si>
    <t>Grand Total</t>
  </si>
  <si>
    <t xml:space="preserve">Sales Statement </t>
  </si>
  <si>
    <t>Customer : SKF INDIA LTD.</t>
  </si>
  <si>
    <t>Supplier:</t>
  </si>
  <si>
    <t>Bommasandra,Bangalore 561 100.</t>
  </si>
  <si>
    <t>Remarks</t>
  </si>
  <si>
    <t>Total Boxes</t>
  </si>
  <si>
    <t>Box * Qty</t>
  </si>
  <si>
    <t>RECEIPT STATEMENT AS ON TODAY.</t>
  </si>
  <si>
    <t>DATE</t>
  </si>
  <si>
    <t>L.R. NO</t>
  </si>
  <si>
    <t>TRANSPORTER</t>
  </si>
  <si>
    <t>REC.DATE</t>
  </si>
  <si>
    <t>QTY (in Nos)</t>
  </si>
  <si>
    <t>RATE</t>
  </si>
  <si>
    <t>BASIC VALUE</t>
  </si>
  <si>
    <t>QTY Lifted</t>
  </si>
  <si>
    <t>BAL.QTY</t>
  </si>
  <si>
    <t>QTY</t>
  </si>
  <si>
    <t>Stock Status</t>
  </si>
  <si>
    <t>Sales Status</t>
  </si>
  <si>
    <t>PO NO</t>
  </si>
  <si>
    <t>Dispatch Date</t>
  </si>
  <si>
    <t>Received Mode</t>
  </si>
  <si>
    <t xml:space="preserve"> </t>
  </si>
  <si>
    <t>Material last Received</t>
  </si>
  <si>
    <t>IGST @ 18%</t>
  </si>
  <si>
    <t>Rate</t>
  </si>
  <si>
    <t>IM6302</t>
  </si>
  <si>
    <t>OM6302</t>
  </si>
  <si>
    <t xml:space="preserve"> W/H INVOICE NO</t>
  </si>
  <si>
    <t>OUTWORD</t>
  </si>
  <si>
    <t>INWORD</t>
  </si>
  <si>
    <t>TYPES</t>
  </si>
  <si>
    <t>FACTROY DC NO</t>
  </si>
  <si>
    <t>DC DATE</t>
  </si>
  <si>
    <t>W/H INV No</t>
  </si>
  <si>
    <t>DC NO</t>
  </si>
  <si>
    <t>DC Date</t>
  </si>
  <si>
    <t>Heat No</t>
  </si>
  <si>
    <t>Aashita Enter Job Work Stock As on</t>
  </si>
  <si>
    <t xml:space="preserve">Aashita Enter Stock as on </t>
  </si>
  <si>
    <t>IM6004</t>
  </si>
  <si>
    <t>OM6005</t>
  </si>
  <si>
    <t>IM6005</t>
  </si>
  <si>
    <t>AASHITA ENTERPRISES</t>
  </si>
  <si>
    <t>149-A,ROAD NO.12,</t>
  </si>
  <si>
    <t>JHOTWARA INDUSTRIAL AREA JAIPUR-302012</t>
  </si>
  <si>
    <t>GSTIN : 08AAZPG5776C1Z7</t>
  </si>
  <si>
    <t>STATE NAME : RAJASTHAN,CODE:08</t>
  </si>
  <si>
    <t>OM6004D8</t>
  </si>
  <si>
    <t>RING WT</t>
  </si>
  <si>
    <t>TOTAL RINGS &amp;  GSP WT</t>
  </si>
  <si>
    <t>GSP 1 COLLER Set Wt</t>
  </si>
  <si>
    <t>GSP 2 COLLER Set Wt</t>
  </si>
  <si>
    <t>GSP 2 COLLER Set</t>
  </si>
  <si>
    <t>GSP 1 COLLER Set</t>
  </si>
  <si>
    <t>RING Weight</t>
  </si>
  <si>
    <t>Balance   Weight in KG's</t>
  </si>
  <si>
    <t>IM6302HSL</t>
  </si>
  <si>
    <t>OMBB12697</t>
  </si>
  <si>
    <t>IMBB12697</t>
  </si>
  <si>
    <t>OM6305</t>
  </si>
  <si>
    <t>IM6305</t>
  </si>
  <si>
    <t>Call off difference</t>
  </si>
  <si>
    <t>Monthly Call off</t>
  </si>
  <si>
    <t>Rec Qty From Factory in  current month</t>
  </si>
  <si>
    <t>Balance Qty available in SLN</t>
  </si>
  <si>
    <t>Opening Bal current month</t>
  </si>
  <si>
    <t>Total Received Qty From Factory</t>
  </si>
  <si>
    <t>SYMBOL</t>
  </si>
  <si>
    <t>R-INV NO</t>
  </si>
  <si>
    <t>R-INV DT</t>
  </si>
  <si>
    <t>R-Challan No</t>
  </si>
  <si>
    <t>R-Challan Date</t>
  </si>
  <si>
    <t>E-Sugam No</t>
  </si>
  <si>
    <t>IGST</t>
  </si>
  <si>
    <t>INV.VALUE</t>
  </si>
  <si>
    <t>TOTAL WEIGHT</t>
  </si>
  <si>
    <t xml:space="preserve">AASHITA REJECTION Stock As On </t>
  </si>
  <si>
    <t>SP ROADLINES</t>
  </si>
  <si>
    <t>P</t>
  </si>
  <si>
    <t>BGWVRD0148</t>
  </si>
  <si>
    <t>SLN</t>
  </si>
  <si>
    <t>-</t>
  </si>
  <si>
    <t>1822 2066 0485</t>
  </si>
  <si>
    <t>24692 Nos Sent To Skf DcNo- 434 Dt: 27-09-25</t>
  </si>
  <si>
    <t>Customer</t>
  </si>
  <si>
    <t>SKF AUTOMATIVE</t>
  </si>
  <si>
    <t>SKF INDUSTRIAL</t>
  </si>
  <si>
    <t>1*6000</t>
  </si>
  <si>
    <t>BGWVRD0451</t>
  </si>
  <si>
    <t>6120 1478 5969</t>
  </si>
  <si>
    <t>2*3000</t>
  </si>
  <si>
    <t>BGWVRD0474</t>
  </si>
  <si>
    <t>1622 9046 3892</t>
  </si>
  <si>
    <t>1*6000 Pallete</t>
  </si>
  <si>
    <t>KWHVR0068</t>
  </si>
  <si>
    <t>1722 9371 3627</t>
  </si>
  <si>
    <t>BGWVRD0507</t>
  </si>
  <si>
    <t>1123 0191 3504</t>
  </si>
  <si>
    <t>1*1184 Pallete</t>
  </si>
  <si>
    <t>( 4*6000=24000 Fresh Dc Rece Dc No- 670 ( 31.12.2025) TO ( 2*6000+1*4700=16700 Fresh Dc Rece Dc No- 726 ( 10.01.2026)</t>
  </si>
  <si>
    <t>( 2*12000=24000 Fresh Dc Rece Dc No- 778 ( 27.01.2026) DC No 871 -25.02.2026 (2*12000+1*10490 =34490 NOS)</t>
  </si>
  <si>
    <t>2*6000</t>
  </si>
  <si>
    <t>4*3000</t>
  </si>
  <si>
    <t>1*3000</t>
  </si>
  <si>
    <t>5*3000</t>
  </si>
  <si>
    <t>BGWVRD0694</t>
  </si>
  <si>
    <t>3*6000</t>
  </si>
  <si>
    <t>1*3400</t>
  </si>
  <si>
    <t>1*12000</t>
  </si>
  <si>
    <t>3*3000</t>
  </si>
  <si>
    <t>1*10000</t>
  </si>
  <si>
    <t>1*2000</t>
  </si>
  <si>
    <t>OM6004</t>
  </si>
  <si>
    <t>7*3000</t>
  </si>
  <si>
    <t>3*2000</t>
  </si>
  <si>
    <t>5*1000</t>
  </si>
  <si>
    <t>1*1500</t>
  </si>
  <si>
    <t>1*5500</t>
  </si>
  <si>
    <t>13*2000</t>
  </si>
  <si>
    <t>11*2000</t>
  </si>
  <si>
    <t>1*9000</t>
  </si>
  <si>
    <t>Sep-26 Rec Weight In KG's SLN W/h</t>
  </si>
  <si>
    <t>Month : SEPTEMBER-2026</t>
  </si>
  <si>
    <t>1*5000</t>
  </si>
  <si>
    <t>2*2000</t>
  </si>
  <si>
    <t>1*2800</t>
  </si>
  <si>
    <t>3*5000</t>
  </si>
  <si>
    <t>2*5000</t>
  </si>
  <si>
    <t>7*2000</t>
  </si>
  <si>
    <t>P247245</t>
  </si>
  <si>
    <t>544-558</t>
  </si>
</sst>
</file>

<file path=xl/styles.xml><?xml version="1.0" encoding="utf-8"?>
<styleSheet xmlns="http://schemas.openxmlformats.org/spreadsheetml/2006/main">
  <numFmts count="7">
    <numFmt numFmtId="164" formatCode="_(* #,##0.00_);_(* \(#,##0.00\);_(* &quot;-&quot;??_);_(@_)"/>
    <numFmt numFmtId="165" formatCode="0.00;[Red]0.00"/>
    <numFmt numFmtId="166" formatCode="0;[Red]0"/>
    <numFmt numFmtId="167" formatCode="[$-409]d\-mmm\-yy;@"/>
    <numFmt numFmtId="168" formatCode="[$-409]d/mmm/yy;@"/>
    <numFmt numFmtId="169" formatCode="[$-409]dd/mmm/yy;@"/>
    <numFmt numFmtId="170" formatCode="0.000"/>
  </numFmts>
  <fonts count="55">
    <font>
      <sz val="10"/>
      <name val="Arial"/>
    </font>
    <font>
      <sz val="10"/>
      <name val="Arial"/>
      <family val="2"/>
    </font>
    <font>
      <sz val="10"/>
      <name val="Bookman Old Style"/>
      <family val="1"/>
    </font>
    <font>
      <u/>
      <sz val="10"/>
      <color indexed="12"/>
      <name val="Arial"/>
      <family val="2"/>
    </font>
    <font>
      <sz val="10"/>
      <color indexed="12"/>
      <name val="Bookman Old Style"/>
      <family val="1"/>
    </font>
    <font>
      <sz val="10"/>
      <color indexed="10"/>
      <name val="Bookman Old Style"/>
      <family val="1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i/>
      <sz val="9"/>
      <name val="Arial"/>
      <family val="2"/>
    </font>
    <font>
      <b/>
      <i/>
      <sz val="10"/>
      <color indexed="12"/>
      <name val="Bookman Old Style"/>
      <family val="1"/>
    </font>
    <font>
      <i/>
      <sz val="10"/>
      <name val="Bookman Old Style"/>
      <family val="1"/>
    </font>
    <font>
      <b/>
      <i/>
      <sz val="10"/>
      <name val="Bookman Old Style"/>
      <family val="1"/>
    </font>
    <font>
      <i/>
      <sz val="10"/>
      <name val="Arial"/>
      <family val="2"/>
    </font>
    <font>
      <i/>
      <sz val="10"/>
      <color indexed="12"/>
      <name val="Bookman Old Style"/>
      <family val="1"/>
    </font>
    <font>
      <i/>
      <sz val="10"/>
      <color indexed="14"/>
      <name val="Bookman Old Style"/>
      <family val="1"/>
    </font>
    <font>
      <i/>
      <sz val="10"/>
      <color indexed="10"/>
      <name val="Bookman Old Style"/>
      <family val="1"/>
    </font>
    <font>
      <b/>
      <i/>
      <sz val="11"/>
      <name val="Bookman Old Style"/>
      <family val="1"/>
    </font>
    <font>
      <b/>
      <i/>
      <sz val="10"/>
      <name val="Arial"/>
      <family val="2"/>
    </font>
    <font>
      <b/>
      <i/>
      <sz val="10"/>
      <color indexed="10"/>
      <name val="Bookman Old Style"/>
      <family val="1"/>
    </font>
    <font>
      <b/>
      <i/>
      <sz val="8"/>
      <name val="Bookman Old Style"/>
      <family val="1"/>
    </font>
    <font>
      <b/>
      <i/>
      <sz val="10"/>
      <color indexed="12"/>
      <name val="Arial"/>
      <family val="2"/>
    </font>
    <font>
      <b/>
      <i/>
      <sz val="12"/>
      <color indexed="12"/>
      <name val="Arial"/>
      <family val="2"/>
    </font>
    <font>
      <b/>
      <i/>
      <sz val="12"/>
      <name val="Arial"/>
      <family val="2"/>
    </font>
    <font>
      <b/>
      <i/>
      <sz val="10"/>
      <color indexed="14"/>
      <name val="Bookman Old Style"/>
      <family val="1"/>
    </font>
    <font>
      <b/>
      <i/>
      <sz val="14"/>
      <name val="Arial"/>
      <family val="2"/>
    </font>
    <font>
      <b/>
      <i/>
      <sz val="14"/>
      <color indexed="14"/>
      <name val="Bookman Old Style"/>
      <family val="1"/>
    </font>
    <font>
      <b/>
      <i/>
      <sz val="14"/>
      <name val="Bookman Old Style"/>
      <family val="1"/>
    </font>
    <font>
      <b/>
      <i/>
      <u/>
      <sz val="14"/>
      <color indexed="12"/>
      <name val="Arial"/>
      <family val="2"/>
    </font>
    <font>
      <b/>
      <i/>
      <sz val="11"/>
      <color indexed="12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8"/>
      <color indexed="10"/>
      <name val="Bookman Old Style"/>
      <family val="1"/>
    </font>
    <font>
      <i/>
      <sz val="12"/>
      <color rgb="FFFF0000"/>
      <name val="Albertus Medium"/>
      <family val="2"/>
    </font>
    <font>
      <b/>
      <i/>
      <sz val="10"/>
      <color rgb="FFFF0000"/>
      <name val="Bookman Old Style"/>
      <family val="1"/>
    </font>
    <font>
      <b/>
      <sz val="11"/>
      <color theme="1"/>
      <name val="Bookman Old Style"/>
      <family val="1"/>
    </font>
    <font>
      <b/>
      <i/>
      <sz val="11"/>
      <color theme="1"/>
      <name val="Bookman Old Style"/>
      <family val="1"/>
    </font>
    <font>
      <i/>
      <sz val="14"/>
      <color indexed="10"/>
      <name val="Calibri"/>
      <family val="2"/>
      <scheme val="minor"/>
    </font>
    <font>
      <b/>
      <i/>
      <sz val="10"/>
      <color rgb="FF7030A0"/>
      <name val="Bookman Old Style"/>
      <family val="1"/>
    </font>
    <font>
      <i/>
      <sz val="10"/>
      <color rgb="FFFF0000"/>
      <name val="Bookman Old Style"/>
      <family val="1"/>
    </font>
    <font>
      <sz val="10"/>
      <name val="Arial"/>
      <family val="2"/>
    </font>
    <font>
      <i/>
      <sz val="12"/>
      <color indexed="10"/>
      <name val="Calibri"/>
      <family val="2"/>
      <scheme val="minor"/>
    </font>
    <font>
      <b/>
      <sz val="10"/>
      <color indexed="12"/>
      <name val="Bookman Old Style"/>
      <family val="1"/>
    </font>
    <font>
      <b/>
      <sz val="10"/>
      <color indexed="10"/>
      <name val="Bookman Old Style"/>
      <family val="1"/>
    </font>
    <font>
      <b/>
      <sz val="12"/>
      <color rgb="FFFF0000"/>
      <name val="Bookman Old Style"/>
      <family val="1"/>
    </font>
    <font>
      <sz val="10"/>
      <color rgb="FFFF0000"/>
      <name val="Bookman Old Style"/>
      <family val="1"/>
    </font>
    <font>
      <i/>
      <sz val="10"/>
      <color indexed="8"/>
      <name val="Bookman Old Style"/>
      <family val="1"/>
    </font>
    <font>
      <b/>
      <sz val="10"/>
      <name val="Bookman Old Style"/>
      <family val="1"/>
    </font>
    <font>
      <b/>
      <i/>
      <sz val="8"/>
      <color indexed="10"/>
      <name val="Bookman Old Style"/>
      <family val="1"/>
    </font>
    <font>
      <i/>
      <sz val="9"/>
      <color rgb="FFFF0000"/>
      <name val="Albertus Medium"/>
      <family val="2"/>
    </font>
    <font>
      <b/>
      <i/>
      <sz val="9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3" fillId="0" borderId="0"/>
    <xf numFmtId="164" fontId="1" fillId="0" borderId="0" applyFont="0" applyFill="0" applyBorder="0" applyAlignment="0" applyProtection="0"/>
  </cellStyleXfs>
  <cellXfs count="226">
    <xf numFmtId="0" fontId="0" fillId="0" borderId="0" xfId="0"/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/>
    </xf>
    <xf numFmtId="166" fontId="22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2" fontId="22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" fontId="22" fillId="5" borderId="1" xfId="0" applyNumberFormat="1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0" xfId="1" applyFont="1" applyFill="1" applyAlignment="1" applyProtection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5" fillId="3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26" fillId="6" borderId="0" xfId="0" applyFont="1" applyFill="1" applyAlignment="1">
      <alignment horizontal="center"/>
    </xf>
    <xf numFmtId="167" fontId="8" fillId="0" borderId="0" xfId="0" applyNumberFormat="1" applyFont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167" fontId="27" fillId="3" borderId="1" xfId="0" applyNumberFormat="1" applyFont="1" applyFill="1" applyBorder="1" applyAlignment="1">
      <alignment horizontal="center" vertical="center" wrapText="1"/>
    </xf>
    <xf numFmtId="167" fontId="18" fillId="2" borderId="1" xfId="0" applyNumberFormat="1" applyFont="1" applyFill="1" applyBorder="1" applyAlignment="1">
      <alignment horizontal="center" vertical="center"/>
    </xf>
    <xf numFmtId="167" fontId="22" fillId="3" borderId="1" xfId="0" applyNumberFormat="1" applyFont="1" applyFill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5" fontId="2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15" fillId="2" borderId="1" xfId="0" applyNumberFormat="1" applyFont="1" applyFill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9" fontId="14" fillId="0" borderId="1" xfId="0" applyNumberFormat="1" applyFont="1" applyBorder="1" applyAlignment="1">
      <alignment horizontal="center" vertical="center"/>
    </xf>
    <xf numFmtId="168" fontId="26" fillId="0" borderId="0" xfId="0" applyNumberFormat="1" applyFont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" fontId="15" fillId="9" borderId="1" xfId="0" applyNumberFormat="1" applyFont="1" applyFill="1" applyBorder="1" applyAlignment="1">
      <alignment horizontal="center" vertical="center" wrapText="1"/>
    </xf>
    <xf numFmtId="167" fontId="15" fillId="9" borderId="1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169" fontId="15" fillId="9" borderId="1" xfId="0" applyNumberFormat="1" applyFont="1" applyFill="1" applyBorder="1" applyAlignment="1">
      <alignment horizontal="center" vertical="center" wrapText="1"/>
    </xf>
    <xf numFmtId="169" fontId="15" fillId="0" borderId="1" xfId="0" applyNumberFormat="1" applyFont="1" applyBorder="1" applyAlignment="1">
      <alignment horizontal="center" vertical="center"/>
    </xf>
    <xf numFmtId="169" fontId="15" fillId="2" borderId="1" xfId="0" applyNumberFormat="1" applyFont="1" applyFill="1" applyBorder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" fontId="41" fillId="4" borderId="1" xfId="0" applyNumberFormat="1" applyFont="1" applyFill="1" applyBorder="1" applyAlignment="1">
      <alignment horizontal="center" vertical="center"/>
    </xf>
    <xf numFmtId="170" fontId="15" fillId="0" borderId="1" xfId="0" applyNumberFormat="1" applyFont="1" applyBorder="1" applyAlignment="1">
      <alignment horizontal="center" vertical="center"/>
    </xf>
    <xf numFmtId="0" fontId="43" fillId="0" borderId="0" xfId="2" applyAlignment="1">
      <alignment horizontal="center" vertical="center"/>
    </xf>
    <xf numFmtId="167" fontId="43" fillId="0" borderId="0" xfId="2" applyNumberFormat="1" applyAlignment="1">
      <alignment horizontal="center" vertical="center"/>
    </xf>
    <xf numFmtId="164" fontId="0" fillId="0" borderId="0" xfId="3" applyFont="1" applyAlignment="1">
      <alignment horizontal="center" vertical="center"/>
    </xf>
    <xf numFmtId="164" fontId="43" fillId="0" borderId="0" xfId="2" applyNumberFormat="1" applyAlignment="1">
      <alignment horizontal="center" vertical="center"/>
    </xf>
    <xf numFmtId="0" fontId="26" fillId="8" borderId="0" xfId="2" applyFont="1" applyFill="1"/>
    <xf numFmtId="0" fontId="26" fillId="6" borderId="0" xfId="2" applyFont="1" applyFill="1" applyAlignment="1">
      <alignment horizontal="center"/>
    </xf>
    <xf numFmtId="0" fontId="16" fillId="0" borderId="0" xfId="2" applyFont="1" applyAlignment="1">
      <alignment horizontal="center" vertical="center"/>
    </xf>
    <xf numFmtId="1" fontId="21" fillId="2" borderId="1" xfId="2" applyNumberFormat="1" applyFont="1" applyFill="1" applyBorder="1" applyAlignment="1">
      <alignment horizontal="center" vertical="center"/>
    </xf>
    <xf numFmtId="167" fontId="34" fillId="2" borderId="1" xfId="2" applyNumberFormat="1" applyFont="1" applyFill="1" applyBorder="1" applyAlignment="1">
      <alignment horizontal="center" vertical="center"/>
    </xf>
    <xf numFmtId="39" fontId="33" fillId="2" borderId="1" xfId="2" applyNumberFormat="1" applyFont="1" applyFill="1" applyBorder="1" applyAlignment="1">
      <alignment horizontal="center" vertical="center"/>
    </xf>
    <xf numFmtId="0" fontId="33" fillId="2" borderId="1" xfId="2" applyFont="1" applyFill="1" applyBorder="1" applyAlignment="1">
      <alignment horizontal="center" vertical="center"/>
    </xf>
    <xf numFmtId="1" fontId="16" fillId="0" borderId="1" xfId="2" applyNumberFormat="1" applyFont="1" applyBorder="1" applyAlignment="1">
      <alignment horizontal="center" vertical="center"/>
    </xf>
    <xf numFmtId="167" fontId="12" fillId="0" borderId="1" xfId="2" applyNumberFormat="1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2" fontId="16" fillId="0" borderId="1" xfId="2" applyNumberFormat="1" applyFont="1" applyBorder="1" applyAlignment="1">
      <alignment horizontal="center" vertical="center"/>
    </xf>
    <xf numFmtId="2" fontId="16" fillId="0" borderId="1" xfId="3" applyNumberFormat="1" applyFont="1" applyFill="1" applyBorder="1" applyAlignment="1">
      <alignment horizontal="center" vertical="center"/>
    </xf>
    <xf numFmtId="164" fontId="21" fillId="3" borderId="1" xfId="3" applyFont="1" applyFill="1" applyBorder="1" applyAlignment="1">
      <alignment horizontal="center" vertical="center" wrapText="1"/>
    </xf>
    <xf numFmtId="167" fontId="21" fillId="3" borderId="1" xfId="2" applyNumberFormat="1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horizontal="center" vertical="center" wrapText="1"/>
    </xf>
    <xf numFmtId="167" fontId="16" fillId="0" borderId="0" xfId="2" applyNumberFormat="1" applyFont="1" applyAlignment="1">
      <alignment horizontal="center" vertical="center"/>
    </xf>
    <xf numFmtId="164" fontId="16" fillId="0" borderId="0" xfId="3" applyFont="1" applyAlignment="1">
      <alignment horizontal="center" vertical="center"/>
    </xf>
    <xf numFmtId="0" fontId="24" fillId="0" borderId="0" xfId="2" applyFont="1" applyAlignment="1">
      <alignment horizontal="left" vertical="center"/>
    </xf>
    <xf numFmtId="0" fontId="36" fillId="0" borderId="0" xfId="2" applyFont="1" applyAlignment="1">
      <alignment horizontal="left" vertical="center"/>
    </xf>
    <xf numFmtId="0" fontId="36" fillId="0" borderId="0" xfId="2" applyFont="1" applyAlignment="1">
      <alignment vertical="center"/>
    </xf>
    <xf numFmtId="0" fontId="40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32" fillId="0" borderId="0" xfId="2" applyFont="1" applyAlignment="1">
      <alignment horizontal="left" vertical="center"/>
    </xf>
    <xf numFmtId="164" fontId="32" fillId="0" borderId="0" xfId="3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167" fontId="12" fillId="0" borderId="1" xfId="2" applyNumberFormat="1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170" fontId="12" fillId="0" borderId="1" xfId="2" applyNumberFormat="1" applyFont="1" applyFill="1" applyBorder="1" applyAlignment="1">
      <alignment horizontal="center" vertical="center"/>
    </xf>
    <xf numFmtId="0" fontId="16" fillId="0" borderId="0" xfId="2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" fontId="22" fillId="0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" fontId="4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8" fontId="22" fillId="3" borderId="1" xfId="0" applyNumberFormat="1" applyFont="1" applyFill="1" applyBorder="1" applyAlignment="1">
      <alignment horizontal="center" vertical="center" wrapText="1"/>
    </xf>
    <xf numFmtId="1" fontId="22" fillId="3" borderId="1" xfId="0" applyNumberFormat="1" applyFont="1" applyFill="1" applyBorder="1" applyAlignment="1">
      <alignment horizontal="center" vertical="center" wrapText="1"/>
    </xf>
    <xf numFmtId="2" fontId="22" fillId="3" borderId="1" xfId="0" applyNumberFormat="1" applyFont="1" applyFill="1" applyBorder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170" fontId="14" fillId="0" borderId="1" xfId="0" applyNumberFormat="1" applyFont="1" applyBorder="1" applyAlignment="1">
      <alignment horizontal="center" vertical="center"/>
    </xf>
    <xf numFmtId="170" fontId="22" fillId="5" borderId="1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168" fontId="14" fillId="0" borderId="1" xfId="0" applyNumberFormat="1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1" fontId="49" fillId="0" borderId="1" xfId="0" applyNumberFormat="1" applyFont="1" applyFill="1" applyBorder="1" applyAlignment="1">
      <alignment horizontal="center" vertical="center" wrapText="1"/>
    </xf>
    <xf numFmtId="168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 wrapText="1"/>
    </xf>
    <xf numFmtId="170" fontId="14" fillId="0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center"/>
    </xf>
    <xf numFmtId="14" fontId="14" fillId="0" borderId="0" xfId="0" applyNumberFormat="1" applyFont="1" applyFill="1" applyAlignment="1">
      <alignment horizontal="center" vertical="center"/>
    </xf>
    <xf numFmtId="1" fontId="51" fillId="0" borderId="16" xfId="0" applyNumberFormat="1" applyFont="1" applyFill="1" applyBorder="1" applyAlignment="1">
      <alignment horizontal="center" vertical="center" wrapText="1"/>
    </xf>
    <xf numFmtId="0" fontId="16" fillId="0" borderId="0" xfId="2" applyFont="1" applyFill="1" applyAlignment="1">
      <alignment horizontal="left" vertical="center" wrapText="1"/>
    </xf>
    <xf numFmtId="166" fontId="5" fillId="0" borderId="0" xfId="0" applyNumberFormat="1" applyFont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15" fillId="0" borderId="16" xfId="0" applyNumberFormat="1" applyFont="1" applyBorder="1" applyAlignment="1">
      <alignment horizontal="center" vertical="center"/>
    </xf>
    <xf numFmtId="167" fontId="12" fillId="0" borderId="0" xfId="2" applyNumberFormat="1" applyFont="1" applyAlignment="1">
      <alignment horizontal="center" vertical="center"/>
    </xf>
    <xf numFmtId="0" fontId="52" fillId="0" borderId="0" xfId="2" applyFont="1" applyAlignment="1">
      <alignment vertical="center"/>
    </xf>
    <xf numFmtId="167" fontId="53" fillId="3" borderId="1" xfId="2" applyNumberFormat="1" applyFont="1" applyFill="1" applyBorder="1" applyAlignment="1">
      <alignment horizontal="center" vertical="center" wrapText="1"/>
    </xf>
    <xf numFmtId="0" fontId="53" fillId="2" borderId="1" xfId="2" applyFont="1" applyFill="1" applyBorder="1" applyAlignment="1">
      <alignment horizontal="center" vertical="center"/>
    </xf>
    <xf numFmtId="167" fontId="54" fillId="0" borderId="0" xfId="2" applyNumberFormat="1" applyFont="1" applyAlignment="1">
      <alignment horizontal="center" vertical="center"/>
    </xf>
    <xf numFmtId="1" fontId="43" fillId="0" borderId="0" xfId="2" applyNumberFormat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3" fontId="41" fillId="4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" fontId="14" fillId="0" borderId="1" xfId="0" quotePrefix="1" applyNumberFormat="1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16" fillId="0" borderId="3" xfId="2" applyFont="1" applyFill="1" applyBorder="1" applyAlignment="1">
      <alignment horizontal="center" vertical="center"/>
    </xf>
    <xf numFmtId="167" fontId="15" fillId="2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67" fontId="15" fillId="2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0" fontId="38" fillId="10" borderId="2" xfId="0" applyFont="1" applyFill="1" applyBorder="1" applyAlignment="1">
      <alignment horizontal="center" vertical="center"/>
    </xf>
    <xf numFmtId="0" fontId="38" fillId="10" borderId="4" xfId="0" applyFont="1" applyFill="1" applyBorder="1" applyAlignment="1">
      <alignment horizontal="center" vertical="center"/>
    </xf>
    <xf numFmtId="0" fontId="38" fillId="10" borderId="3" xfId="0" applyFont="1" applyFill="1" applyBorder="1" applyAlignment="1">
      <alignment horizontal="center" vertical="center"/>
    </xf>
    <xf numFmtId="0" fontId="39" fillId="10" borderId="2" xfId="0" applyFont="1" applyFill="1" applyBorder="1" applyAlignment="1">
      <alignment horizontal="center" vertical="center"/>
    </xf>
    <xf numFmtId="0" fontId="39" fillId="10" borderId="4" xfId="0" applyFont="1" applyFill="1" applyBorder="1" applyAlignment="1">
      <alignment horizontal="center" vertical="center"/>
    </xf>
    <xf numFmtId="0" fontId="39" fillId="10" borderId="3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167" fontId="25" fillId="2" borderId="9" xfId="0" applyNumberFormat="1" applyFont="1" applyFill="1" applyBorder="1" applyAlignment="1">
      <alignment horizontal="center" vertical="center"/>
    </xf>
    <xf numFmtId="167" fontId="25" fillId="2" borderId="17" xfId="0" applyNumberFormat="1" applyFont="1" applyFill="1" applyBorder="1" applyAlignment="1">
      <alignment horizontal="center" vertical="center"/>
    </xf>
    <xf numFmtId="167" fontId="25" fillId="2" borderId="10" xfId="0" applyNumberFormat="1" applyFont="1" applyFill="1" applyBorder="1" applyAlignment="1">
      <alignment horizontal="center" vertical="center"/>
    </xf>
    <xf numFmtId="167" fontId="25" fillId="2" borderId="11" xfId="0" applyNumberFormat="1" applyFont="1" applyFill="1" applyBorder="1" applyAlignment="1">
      <alignment horizontal="center" vertical="center"/>
    </xf>
    <xf numFmtId="3" fontId="34" fillId="0" borderId="5" xfId="0" applyNumberFormat="1" applyFont="1" applyBorder="1" applyAlignment="1">
      <alignment horizontal="center" vertical="center"/>
    </xf>
    <xf numFmtId="3" fontId="34" fillId="0" borderId="6" xfId="0" applyNumberFormat="1" applyFont="1" applyBorder="1" applyAlignment="1">
      <alignment horizontal="center" vertical="center"/>
    </xf>
    <xf numFmtId="167" fontId="34" fillId="0" borderId="1" xfId="0" applyNumberFormat="1" applyFont="1" applyBorder="1" applyAlignment="1">
      <alignment horizontal="center" vertical="center"/>
    </xf>
    <xf numFmtId="167" fontId="34" fillId="0" borderId="7" xfId="0" applyNumberFormat="1" applyFont="1" applyBorder="1" applyAlignment="1">
      <alignment horizontal="center" vertical="center"/>
    </xf>
    <xf numFmtId="167" fontId="33" fillId="0" borderId="19" xfId="0" applyNumberFormat="1" applyFont="1" applyBorder="1" applyAlignment="1">
      <alignment horizontal="center" vertical="center"/>
    </xf>
    <xf numFmtId="167" fontId="33" fillId="0" borderId="18" xfId="0" applyNumberFormat="1" applyFont="1" applyBorder="1" applyAlignment="1">
      <alignment horizontal="center" vertical="center"/>
    </xf>
    <xf numFmtId="167" fontId="33" fillId="0" borderId="20" xfId="0" applyNumberFormat="1" applyFont="1" applyBorder="1" applyAlignment="1">
      <alignment horizontal="center" vertical="center"/>
    </xf>
    <xf numFmtId="167" fontId="33" fillId="0" borderId="3" xfId="0" applyNumberFormat="1" applyFont="1" applyBorder="1" applyAlignment="1">
      <alignment horizontal="center" vertical="center"/>
    </xf>
    <xf numFmtId="0" fontId="26" fillId="8" borderId="0" xfId="0" applyFont="1" applyFill="1" applyAlignment="1">
      <alignment horizontal="center"/>
    </xf>
    <xf numFmtId="0" fontId="29" fillId="9" borderId="1" xfId="0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33" fillId="2" borderId="2" xfId="2" applyFont="1" applyFill="1" applyBorder="1" applyAlignment="1">
      <alignment horizontal="center" vertical="center"/>
    </xf>
    <xf numFmtId="0" fontId="33" fillId="2" borderId="4" xfId="2" applyFont="1" applyFill="1" applyBorder="1" applyAlignment="1">
      <alignment horizontal="center" vertical="center"/>
    </xf>
    <xf numFmtId="0" fontId="33" fillId="2" borderId="3" xfId="2" applyFont="1" applyFill="1" applyBorder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</cellXfs>
  <cellStyles count="4">
    <cellStyle name="Comma 3" xfId="3"/>
    <cellStyle name="Hyperlink" xfId="1" builtinId="8"/>
    <cellStyle name="Normal" xfId="0" builtinId="0"/>
    <cellStyle name="Normal 3" xfId="2"/>
  </cellStyles>
  <dxfs count="18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17"/>
      </font>
      <fill>
        <patternFill>
          <fgColor indexed="10"/>
          <bgColor indexed="42"/>
        </patternFill>
      </fill>
    </dxf>
    <dxf>
      <font>
        <b val="0"/>
        <i val="0"/>
        <color indexed="60"/>
      </font>
      <fill>
        <patternFill>
          <fgColor indexed="10"/>
          <bgColor indexed="4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EF20E"/>
      <color rgb="FF00602B"/>
      <color rgb="FF01FF74"/>
      <color rgb="FF99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2:U80"/>
  <sheetViews>
    <sheetView zoomScale="85" zoomScaleNormal="85" workbookViewId="0">
      <pane xSplit="3" topLeftCell="D1" activePane="topRight" state="frozen"/>
      <selection pane="topRight" activeCell="H4" sqref="H4"/>
    </sheetView>
  </sheetViews>
  <sheetFormatPr defaultColWidth="9.140625" defaultRowHeight="18" customHeight="1"/>
  <cols>
    <col min="1" max="1" width="3.5703125" style="9" customWidth="1"/>
    <col min="2" max="2" width="17.42578125" style="24" customWidth="1"/>
    <col min="3" max="3" width="15.28515625" style="25" bestFit="1" customWidth="1"/>
    <col min="4" max="4" width="13.7109375" style="51" customWidth="1"/>
    <col min="5" max="5" width="13.7109375" style="9" customWidth="1"/>
    <col min="6" max="6" width="13.7109375" style="51" customWidth="1"/>
    <col min="7" max="7" width="18.85546875" style="25" customWidth="1"/>
    <col min="8" max="8" width="15.7109375" style="51" customWidth="1"/>
    <col min="9" max="9" width="9.140625" style="9" customWidth="1"/>
    <col min="10" max="10" width="21.7109375" style="51" customWidth="1"/>
    <col min="11" max="11" width="13.5703125" style="25" customWidth="1"/>
    <col min="12" max="12" width="9.28515625" style="9" customWidth="1"/>
    <col min="13" max="13" width="15.42578125" style="48" customWidth="1"/>
    <col min="14" max="14" width="16.28515625" style="75" customWidth="1"/>
    <col min="15" max="15" width="13.140625" style="79" bestFit="1" customWidth="1"/>
    <col min="16" max="16" width="9.85546875" style="48" customWidth="1"/>
    <col min="17" max="17" width="17.7109375" style="48" bestFit="1" customWidth="1"/>
    <col min="18" max="18" width="13.28515625" style="49" customWidth="1"/>
    <col min="19" max="19" width="13.28515625" style="53" customWidth="1"/>
    <col min="20" max="20" width="13.28515625" style="26" customWidth="1"/>
    <col min="21" max="21" width="10.85546875" style="9" bestFit="1" customWidth="1"/>
    <col min="22" max="16384" width="9.140625" style="9"/>
  </cols>
  <sheetData>
    <row r="2" spans="2:21" s="1" customFormat="1" ht="18" customHeight="1">
      <c r="B2" s="186" t="s">
        <v>15</v>
      </c>
      <c r="C2" s="186"/>
      <c r="D2" s="186"/>
      <c r="E2" s="186"/>
      <c r="F2" s="186"/>
      <c r="G2" s="186"/>
      <c r="H2" s="187"/>
      <c r="I2" s="187"/>
      <c r="J2" s="187"/>
      <c r="K2" s="186"/>
      <c r="L2" s="186"/>
      <c r="M2" s="186"/>
      <c r="N2" s="186"/>
      <c r="O2" s="186"/>
      <c r="P2" s="186"/>
      <c r="Q2" s="186"/>
      <c r="R2" s="186"/>
      <c r="S2" s="187"/>
      <c r="T2" s="186"/>
    </row>
    <row r="3" spans="2:21" s="1" customFormat="1" ht="18" customHeight="1">
      <c r="B3" s="191" t="s">
        <v>39</v>
      </c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3"/>
      <c r="N3" s="188" t="s">
        <v>38</v>
      </c>
      <c r="O3" s="189"/>
      <c r="P3" s="189"/>
      <c r="Q3" s="189"/>
      <c r="R3" s="189"/>
      <c r="S3" s="189"/>
      <c r="T3" s="190"/>
    </row>
    <row r="4" spans="2:21" s="2" customFormat="1" ht="25.5">
      <c r="B4" s="10" t="s">
        <v>40</v>
      </c>
      <c r="C4" s="10" t="s">
        <v>44</v>
      </c>
      <c r="D4" s="50" t="s">
        <v>16</v>
      </c>
      <c r="E4" s="10" t="s">
        <v>17</v>
      </c>
      <c r="F4" s="50" t="s">
        <v>16</v>
      </c>
      <c r="G4" s="10" t="s">
        <v>18</v>
      </c>
      <c r="H4" s="50" t="s">
        <v>19</v>
      </c>
      <c r="I4" s="10" t="s">
        <v>13</v>
      </c>
      <c r="J4" s="50" t="s">
        <v>14</v>
      </c>
      <c r="K4" s="10" t="s">
        <v>20</v>
      </c>
      <c r="L4" s="10" t="s">
        <v>21</v>
      </c>
      <c r="M4" s="39" t="s">
        <v>22</v>
      </c>
      <c r="N4" s="73" t="s">
        <v>37</v>
      </c>
      <c r="O4" s="76" t="s">
        <v>16</v>
      </c>
      <c r="P4" s="73" t="s">
        <v>13</v>
      </c>
      <c r="Q4" s="74" t="s">
        <v>14</v>
      </c>
      <c r="R4" s="40" t="s">
        <v>23</v>
      </c>
      <c r="S4" s="55" t="s">
        <v>16</v>
      </c>
      <c r="T4" s="32" t="s">
        <v>24</v>
      </c>
    </row>
    <row r="5" spans="2:21" s="3" customFormat="1" ht="18" customHeight="1">
      <c r="B5" s="170" t="s">
        <v>57</v>
      </c>
      <c r="C5" s="153">
        <v>305</v>
      </c>
      <c r="D5" s="70">
        <v>46203</v>
      </c>
      <c r="E5" s="176">
        <v>12850</v>
      </c>
      <c r="F5" s="70">
        <v>46203</v>
      </c>
      <c r="G5" s="58" t="s">
        <v>87</v>
      </c>
      <c r="H5" s="70">
        <v>46209</v>
      </c>
      <c r="I5" s="28">
        <v>1</v>
      </c>
      <c r="J5" s="66" t="s">
        <v>117</v>
      </c>
      <c r="K5" s="5">
        <f>1*3400</f>
        <v>3400</v>
      </c>
      <c r="L5" s="29">
        <v>10.029999999999999</v>
      </c>
      <c r="M5" s="11">
        <f t="shared" ref="M5:M11" si="0">+K5*L5</f>
        <v>34102</v>
      </c>
      <c r="N5" s="153"/>
      <c r="O5" s="70"/>
      <c r="P5" s="28"/>
      <c r="Q5" s="66"/>
      <c r="R5" s="5"/>
      <c r="S5" s="54" t="s">
        <v>88</v>
      </c>
      <c r="T5" s="45">
        <f t="shared" ref="T5:T11" si="1">+K5-R5</f>
        <v>3400</v>
      </c>
      <c r="U5" s="47"/>
    </row>
    <row r="6" spans="2:21" s="3" customFormat="1" ht="18" customHeight="1">
      <c r="B6" s="170" t="s">
        <v>57</v>
      </c>
      <c r="C6" s="153">
        <v>321</v>
      </c>
      <c r="D6" s="70">
        <v>46206</v>
      </c>
      <c r="E6" s="176">
        <v>12875</v>
      </c>
      <c r="F6" s="70">
        <v>46206</v>
      </c>
      <c r="G6" s="58" t="s">
        <v>87</v>
      </c>
      <c r="H6" s="70">
        <v>46212</v>
      </c>
      <c r="I6" s="28">
        <v>2</v>
      </c>
      <c r="J6" s="66" t="s">
        <v>111</v>
      </c>
      <c r="K6" s="5">
        <f>2*6000</f>
        <v>12000</v>
      </c>
      <c r="L6" s="29">
        <v>10.029999999999999</v>
      </c>
      <c r="M6" s="11">
        <f t="shared" si="0"/>
        <v>120359.99999999999</v>
      </c>
      <c r="N6" s="153"/>
      <c r="O6" s="70"/>
      <c r="P6" s="28"/>
      <c r="Q6" s="66"/>
      <c r="R6" s="5"/>
      <c r="S6" s="54" t="s">
        <v>88</v>
      </c>
      <c r="T6" s="45">
        <f t="shared" si="1"/>
        <v>12000</v>
      </c>
      <c r="U6" s="47"/>
    </row>
    <row r="7" spans="2:21" s="3" customFormat="1" ht="18" customHeight="1">
      <c r="B7" s="170" t="s">
        <v>57</v>
      </c>
      <c r="C7" s="153">
        <v>336</v>
      </c>
      <c r="D7" s="70">
        <v>46209</v>
      </c>
      <c r="E7" s="176">
        <v>12901</v>
      </c>
      <c r="F7" s="70">
        <v>46209</v>
      </c>
      <c r="G7" s="58" t="s">
        <v>87</v>
      </c>
      <c r="H7" s="70">
        <v>46212</v>
      </c>
      <c r="I7" s="28">
        <v>2</v>
      </c>
      <c r="J7" s="66" t="s">
        <v>111</v>
      </c>
      <c r="K7" s="5">
        <f>2*6000</f>
        <v>12000</v>
      </c>
      <c r="L7" s="29">
        <v>10.029999999999999</v>
      </c>
      <c r="M7" s="11">
        <f t="shared" si="0"/>
        <v>120359.99999999999</v>
      </c>
      <c r="N7" s="153"/>
      <c r="O7" s="70"/>
      <c r="P7" s="28"/>
      <c r="Q7" s="66"/>
      <c r="R7" s="5"/>
      <c r="S7" s="54" t="s">
        <v>88</v>
      </c>
      <c r="T7" s="45">
        <f t="shared" si="1"/>
        <v>12000</v>
      </c>
      <c r="U7" s="47"/>
    </row>
    <row r="8" spans="2:21" s="3" customFormat="1" ht="18" customHeight="1">
      <c r="B8" s="170" t="s">
        <v>57</v>
      </c>
      <c r="C8" s="153">
        <v>350</v>
      </c>
      <c r="D8" s="70">
        <v>46212</v>
      </c>
      <c r="E8" s="176">
        <v>12915</v>
      </c>
      <c r="F8" s="70">
        <v>46212</v>
      </c>
      <c r="G8" s="58" t="s">
        <v>87</v>
      </c>
      <c r="H8" s="70">
        <v>46217</v>
      </c>
      <c r="I8" s="28">
        <v>1</v>
      </c>
      <c r="J8" s="66" t="s">
        <v>97</v>
      </c>
      <c r="K8" s="5">
        <f>1*6000</f>
        <v>6000</v>
      </c>
      <c r="L8" s="29">
        <v>10.029999999999999</v>
      </c>
      <c r="M8" s="11">
        <f t="shared" si="0"/>
        <v>60179.999999999993</v>
      </c>
      <c r="N8" s="153"/>
      <c r="O8" s="70"/>
      <c r="P8" s="28"/>
      <c r="Q8" s="66"/>
      <c r="R8" s="5"/>
      <c r="S8" s="54" t="s">
        <v>88</v>
      </c>
      <c r="T8" s="45">
        <f t="shared" si="1"/>
        <v>6000</v>
      </c>
      <c r="U8" s="47"/>
    </row>
    <row r="9" spans="2:21" s="3" customFormat="1" ht="18" customHeight="1">
      <c r="B9" s="170" t="s">
        <v>57</v>
      </c>
      <c r="C9" s="153">
        <v>360</v>
      </c>
      <c r="D9" s="70">
        <v>46212</v>
      </c>
      <c r="E9" s="176">
        <v>12915</v>
      </c>
      <c r="F9" s="70">
        <v>46212</v>
      </c>
      <c r="G9" s="58" t="s">
        <v>87</v>
      </c>
      <c r="H9" s="70">
        <v>46217</v>
      </c>
      <c r="I9" s="28">
        <v>1</v>
      </c>
      <c r="J9" s="66" t="s">
        <v>97</v>
      </c>
      <c r="K9" s="5">
        <f>1*6000</f>
        <v>6000</v>
      </c>
      <c r="L9" s="29">
        <v>10.029999999999999</v>
      </c>
      <c r="M9" s="11">
        <f t="shared" si="0"/>
        <v>60179.999999999993</v>
      </c>
      <c r="N9" s="153"/>
      <c r="O9" s="70"/>
      <c r="P9" s="28"/>
      <c r="Q9" s="66"/>
      <c r="R9" s="5"/>
      <c r="S9" s="54" t="s">
        <v>88</v>
      </c>
      <c r="T9" s="45">
        <f t="shared" si="1"/>
        <v>6000</v>
      </c>
      <c r="U9" s="47"/>
    </row>
    <row r="10" spans="2:21" s="3" customFormat="1" ht="18" customHeight="1">
      <c r="B10" s="170" t="s">
        <v>57</v>
      </c>
      <c r="C10" s="153">
        <v>411</v>
      </c>
      <c r="D10" s="70">
        <v>46225</v>
      </c>
      <c r="E10" s="176">
        <v>12986</v>
      </c>
      <c r="F10" s="70">
        <v>46225</v>
      </c>
      <c r="G10" s="58" t="s">
        <v>87</v>
      </c>
      <c r="H10" s="70">
        <v>46230</v>
      </c>
      <c r="I10" s="181">
        <v>1</v>
      </c>
      <c r="J10" s="66" t="s">
        <v>97</v>
      </c>
      <c r="K10" s="5">
        <f>1*6000</f>
        <v>6000</v>
      </c>
      <c r="L10" s="29">
        <v>10.029999999999999</v>
      </c>
      <c r="M10" s="11">
        <f t="shared" si="0"/>
        <v>60179.999999999993</v>
      </c>
      <c r="N10" s="153"/>
      <c r="O10" s="70"/>
      <c r="P10" s="181"/>
      <c r="Q10" s="66"/>
      <c r="R10" s="5"/>
      <c r="S10" s="54" t="s">
        <v>88</v>
      </c>
      <c r="T10" s="45">
        <f t="shared" si="1"/>
        <v>6000</v>
      </c>
      <c r="U10" s="47"/>
    </row>
    <row r="11" spans="2:21" s="3" customFormat="1" ht="18" customHeight="1">
      <c r="B11" s="170" t="s">
        <v>57</v>
      </c>
      <c r="C11" s="153">
        <v>420</v>
      </c>
      <c r="D11" s="70">
        <v>46228</v>
      </c>
      <c r="E11" s="176">
        <v>12996</v>
      </c>
      <c r="F11" s="70">
        <v>46228</v>
      </c>
      <c r="G11" s="58" t="s">
        <v>87</v>
      </c>
      <c r="H11" s="70">
        <v>46231</v>
      </c>
      <c r="I11" s="181">
        <v>1</v>
      </c>
      <c r="J11" s="66" t="s">
        <v>97</v>
      </c>
      <c r="K11" s="5">
        <f>1*6000</f>
        <v>6000</v>
      </c>
      <c r="L11" s="29">
        <v>10.029999999999999</v>
      </c>
      <c r="M11" s="11">
        <f t="shared" si="0"/>
        <v>60179.999999999993</v>
      </c>
      <c r="N11" s="153"/>
      <c r="O11" s="70"/>
      <c r="P11" s="181"/>
      <c r="Q11" s="66"/>
      <c r="R11" s="5"/>
      <c r="S11" s="54" t="s">
        <v>88</v>
      </c>
      <c r="T11" s="45">
        <f t="shared" si="1"/>
        <v>6000</v>
      </c>
      <c r="U11" s="47"/>
    </row>
    <row r="12" spans="2:21" s="3" customFormat="1" ht="18" customHeight="1">
      <c r="B12" s="170" t="s">
        <v>57</v>
      </c>
      <c r="C12" s="153">
        <v>460</v>
      </c>
      <c r="D12" s="70">
        <v>46238</v>
      </c>
      <c r="E12" s="176">
        <v>13053</v>
      </c>
      <c r="F12" s="70">
        <v>46238</v>
      </c>
      <c r="G12" s="58" t="s">
        <v>87</v>
      </c>
      <c r="H12" s="70">
        <v>46242</v>
      </c>
      <c r="I12" s="181">
        <v>1</v>
      </c>
      <c r="J12" s="66" t="s">
        <v>97</v>
      </c>
      <c r="K12" s="5">
        <f>1*6000</f>
        <v>6000</v>
      </c>
      <c r="L12" s="29">
        <v>10.029999999999999</v>
      </c>
      <c r="M12" s="11">
        <f t="shared" ref="M12:M18" si="2">+K12*L12</f>
        <v>60179.999999999993</v>
      </c>
      <c r="N12" s="153"/>
      <c r="O12" s="70"/>
      <c r="P12" s="181"/>
      <c r="Q12" s="66"/>
      <c r="R12" s="5"/>
      <c r="S12" s="54" t="s">
        <v>88</v>
      </c>
      <c r="T12" s="45">
        <f t="shared" ref="T12:T18" si="3">+K12-R12</f>
        <v>6000</v>
      </c>
      <c r="U12" s="47"/>
    </row>
    <row r="13" spans="2:21" s="3" customFormat="1" ht="18" customHeight="1">
      <c r="B13" s="170" t="s">
        <v>57</v>
      </c>
      <c r="C13" s="153">
        <v>474</v>
      </c>
      <c r="D13" s="70">
        <v>46242</v>
      </c>
      <c r="E13" s="176">
        <v>13068</v>
      </c>
      <c r="F13" s="70">
        <v>46242</v>
      </c>
      <c r="G13" s="58" t="s">
        <v>87</v>
      </c>
      <c r="H13" s="70">
        <v>46247</v>
      </c>
      <c r="I13" s="181">
        <v>3</v>
      </c>
      <c r="J13" s="66" t="s">
        <v>116</v>
      </c>
      <c r="K13" s="5">
        <f>3*6000</f>
        <v>18000</v>
      </c>
      <c r="L13" s="29">
        <v>10.029999999999999</v>
      </c>
      <c r="M13" s="11">
        <f t="shared" si="2"/>
        <v>180540</v>
      </c>
      <c r="N13" s="153"/>
      <c r="O13" s="70"/>
      <c r="P13" s="181"/>
      <c r="Q13" s="66"/>
      <c r="R13" s="5"/>
      <c r="S13" s="54" t="s">
        <v>88</v>
      </c>
      <c r="T13" s="45">
        <f t="shared" si="3"/>
        <v>18000</v>
      </c>
      <c r="U13" s="47"/>
    </row>
    <row r="14" spans="2:21" s="3" customFormat="1" ht="18" customHeight="1">
      <c r="B14" s="170" t="s">
        <v>57</v>
      </c>
      <c r="C14" s="153">
        <v>487</v>
      </c>
      <c r="D14" s="70">
        <v>46243</v>
      </c>
      <c r="E14" s="176">
        <v>13068</v>
      </c>
      <c r="F14" s="70">
        <v>46243</v>
      </c>
      <c r="G14" s="58" t="s">
        <v>87</v>
      </c>
      <c r="H14" s="70">
        <v>46247</v>
      </c>
      <c r="I14" s="181">
        <v>1</v>
      </c>
      <c r="J14" s="66" t="s">
        <v>97</v>
      </c>
      <c r="K14" s="5">
        <f>1*6000</f>
        <v>6000</v>
      </c>
      <c r="L14" s="29">
        <v>10.029999999999999</v>
      </c>
      <c r="M14" s="11">
        <f t="shared" si="2"/>
        <v>60179.999999999993</v>
      </c>
      <c r="N14" s="153"/>
      <c r="O14" s="70"/>
      <c r="P14" s="181"/>
      <c r="Q14" s="66"/>
      <c r="R14" s="5"/>
      <c r="S14" s="54" t="s">
        <v>88</v>
      </c>
      <c r="T14" s="45">
        <f t="shared" si="3"/>
        <v>6000</v>
      </c>
      <c r="U14" s="47"/>
    </row>
    <row r="15" spans="2:21" s="3" customFormat="1" ht="18" customHeight="1">
      <c r="B15" s="170" t="s">
        <v>57</v>
      </c>
      <c r="C15" s="153">
        <v>491</v>
      </c>
      <c r="D15" s="70">
        <v>46246</v>
      </c>
      <c r="E15" s="176">
        <v>13084</v>
      </c>
      <c r="F15" s="70">
        <v>46246</v>
      </c>
      <c r="G15" s="58" t="s">
        <v>87</v>
      </c>
      <c r="H15" s="70">
        <v>46252</v>
      </c>
      <c r="I15" s="181">
        <v>2</v>
      </c>
      <c r="J15" s="66" t="s">
        <v>111</v>
      </c>
      <c r="K15" s="5">
        <f>2*6000</f>
        <v>12000</v>
      </c>
      <c r="L15" s="29">
        <v>10.029999999999999</v>
      </c>
      <c r="M15" s="11">
        <f t="shared" si="2"/>
        <v>120359.99999999999</v>
      </c>
      <c r="N15" s="153"/>
      <c r="O15" s="70"/>
      <c r="P15" s="181"/>
      <c r="Q15" s="66"/>
      <c r="R15" s="5"/>
      <c r="S15" s="54" t="s">
        <v>88</v>
      </c>
      <c r="T15" s="45">
        <f t="shared" si="3"/>
        <v>12000</v>
      </c>
      <c r="U15" s="47"/>
    </row>
    <row r="16" spans="2:21" s="3" customFormat="1" ht="18" customHeight="1">
      <c r="B16" s="170" t="s">
        <v>57</v>
      </c>
      <c r="C16" s="153">
        <v>503</v>
      </c>
      <c r="D16" s="70">
        <v>46251</v>
      </c>
      <c r="E16" s="176">
        <v>13105</v>
      </c>
      <c r="F16" s="70">
        <v>46251</v>
      </c>
      <c r="G16" s="58" t="s">
        <v>87</v>
      </c>
      <c r="H16" s="70">
        <v>46255</v>
      </c>
      <c r="I16" s="181">
        <v>1</v>
      </c>
      <c r="J16" s="66" t="s">
        <v>127</v>
      </c>
      <c r="K16" s="5">
        <f>1*5500</f>
        <v>5500</v>
      </c>
      <c r="L16" s="29">
        <v>10.029999999999999</v>
      </c>
      <c r="M16" s="11">
        <f t="shared" si="2"/>
        <v>55165</v>
      </c>
      <c r="N16" s="153"/>
      <c r="O16" s="70"/>
      <c r="P16" s="181"/>
      <c r="Q16" s="66"/>
      <c r="R16" s="5"/>
      <c r="S16" s="54" t="s">
        <v>88</v>
      </c>
      <c r="T16" s="45">
        <f t="shared" si="3"/>
        <v>5500</v>
      </c>
      <c r="U16" s="47"/>
    </row>
    <row r="17" spans="2:21" s="3" customFormat="1" ht="18" customHeight="1">
      <c r="B17" s="170" t="s">
        <v>57</v>
      </c>
      <c r="C17" s="153">
        <v>517</v>
      </c>
      <c r="D17" s="70">
        <v>46255</v>
      </c>
      <c r="E17" s="176">
        <v>13132</v>
      </c>
      <c r="F17" s="70">
        <v>46255</v>
      </c>
      <c r="G17" s="58" t="s">
        <v>87</v>
      </c>
      <c r="H17" s="70">
        <v>46260</v>
      </c>
      <c r="I17" s="181">
        <v>3</v>
      </c>
      <c r="J17" s="66" t="s">
        <v>116</v>
      </c>
      <c r="K17" s="5">
        <f>3*6000</f>
        <v>18000</v>
      </c>
      <c r="L17" s="29">
        <v>10.029999999999999</v>
      </c>
      <c r="M17" s="11">
        <f t="shared" si="2"/>
        <v>180540</v>
      </c>
      <c r="N17" s="153"/>
      <c r="O17" s="70"/>
      <c r="P17" s="181"/>
      <c r="Q17" s="66"/>
      <c r="R17" s="5"/>
      <c r="S17" s="54" t="s">
        <v>88</v>
      </c>
      <c r="T17" s="45">
        <f t="shared" si="3"/>
        <v>18000</v>
      </c>
      <c r="U17" s="47"/>
    </row>
    <row r="18" spans="2:21" s="3" customFormat="1" ht="18" customHeight="1">
      <c r="B18" s="170" t="s">
        <v>57</v>
      </c>
      <c r="C18" s="153">
        <v>527</v>
      </c>
      <c r="D18" s="70">
        <v>46258</v>
      </c>
      <c r="E18" s="183">
        <v>13150</v>
      </c>
      <c r="F18" s="70">
        <v>46258</v>
      </c>
      <c r="G18" s="58" t="s">
        <v>87</v>
      </c>
      <c r="H18" s="70">
        <v>46262</v>
      </c>
      <c r="I18" s="181">
        <v>1</v>
      </c>
      <c r="J18" s="66" t="s">
        <v>97</v>
      </c>
      <c r="K18" s="5">
        <f>1*6000</f>
        <v>6000</v>
      </c>
      <c r="L18" s="29">
        <v>10.029999999999999</v>
      </c>
      <c r="M18" s="11">
        <f t="shared" si="2"/>
        <v>60179.999999999993</v>
      </c>
      <c r="N18" s="153"/>
      <c r="O18" s="70"/>
      <c r="P18" s="181"/>
      <c r="Q18" s="66"/>
      <c r="R18" s="5"/>
      <c r="S18" s="54" t="s">
        <v>88</v>
      </c>
      <c r="T18" s="45">
        <f t="shared" si="3"/>
        <v>6000</v>
      </c>
      <c r="U18" s="47"/>
    </row>
    <row r="19" spans="2:21" s="3" customFormat="1" ht="18.75" customHeight="1">
      <c r="B19" s="7"/>
      <c r="C19" s="5"/>
      <c r="D19" s="27"/>
      <c r="E19" s="23"/>
      <c r="F19" s="27"/>
      <c r="G19" s="5" t="s">
        <v>31</v>
      </c>
      <c r="H19" s="27"/>
      <c r="I19" s="23"/>
      <c r="J19" s="27"/>
      <c r="K19" s="5"/>
      <c r="L19" s="29"/>
      <c r="M19" s="5"/>
      <c r="N19" s="5"/>
      <c r="O19" s="77"/>
      <c r="P19" s="5"/>
      <c r="Q19" s="5"/>
      <c r="R19" s="28"/>
      <c r="S19" s="54"/>
      <c r="T19" s="45"/>
    </row>
    <row r="20" spans="2:21" s="3" customFormat="1" ht="16.5" customHeight="1">
      <c r="B20" s="184" t="s">
        <v>3</v>
      </c>
      <c r="C20" s="184"/>
      <c r="D20" s="184"/>
      <c r="E20" s="184"/>
      <c r="F20" s="184"/>
      <c r="G20" s="184"/>
      <c r="H20" s="185"/>
      <c r="I20" s="68">
        <f>SUM(I5:I19)</f>
        <v>21</v>
      </c>
      <c r="J20" s="65"/>
      <c r="K20" s="68">
        <f>SUM(K5:K19)</f>
        <v>122900</v>
      </c>
      <c r="L20" s="42"/>
      <c r="M20" s="43">
        <f>SUM(M5:M19)</f>
        <v>1232687</v>
      </c>
      <c r="N20" s="78"/>
      <c r="O20" s="78"/>
      <c r="P20" s="43"/>
      <c r="Q20" s="43"/>
      <c r="R20" s="44">
        <f>SUM(R5:R19)</f>
        <v>0</v>
      </c>
      <c r="S20" s="56"/>
      <c r="T20" s="41">
        <f>SUM(T5:T19)</f>
        <v>122900</v>
      </c>
    </row>
    <row r="21" spans="2:21" s="3" customFormat="1" ht="18" customHeight="1">
      <c r="B21" s="170" t="s">
        <v>122</v>
      </c>
      <c r="C21" s="153">
        <v>554</v>
      </c>
      <c r="D21" s="70">
        <v>46265</v>
      </c>
      <c r="E21" s="183">
        <v>13180</v>
      </c>
      <c r="F21" s="70">
        <v>46265</v>
      </c>
      <c r="G21" s="58" t="s">
        <v>87</v>
      </c>
      <c r="H21" s="70">
        <v>46270</v>
      </c>
      <c r="I21" s="181">
        <v>1</v>
      </c>
      <c r="J21" s="66" t="s">
        <v>97</v>
      </c>
      <c r="K21" s="5">
        <f>1*6000</f>
        <v>6000</v>
      </c>
      <c r="L21" s="29">
        <v>10.23</v>
      </c>
      <c r="M21" s="11">
        <f t="shared" ref="M21:M22" si="4">+K21*L21</f>
        <v>61380</v>
      </c>
      <c r="N21" s="153"/>
      <c r="O21" s="70"/>
      <c r="P21" s="181"/>
      <c r="Q21" s="66"/>
      <c r="R21" s="5"/>
      <c r="S21" s="54" t="s">
        <v>88</v>
      </c>
      <c r="T21" s="45">
        <f t="shared" ref="T21:T22" si="5">+K21-R21</f>
        <v>6000</v>
      </c>
      <c r="U21" s="47"/>
    </row>
    <row r="22" spans="2:21" s="3" customFormat="1" ht="18" customHeight="1">
      <c r="B22" s="170" t="s">
        <v>122</v>
      </c>
      <c r="C22" s="153">
        <v>546</v>
      </c>
      <c r="D22" s="70">
        <v>46265</v>
      </c>
      <c r="E22" s="183">
        <v>13180</v>
      </c>
      <c r="F22" s="70">
        <v>46265</v>
      </c>
      <c r="G22" s="58" t="s">
        <v>87</v>
      </c>
      <c r="H22" s="70">
        <v>46270</v>
      </c>
      <c r="I22" s="181">
        <v>1</v>
      </c>
      <c r="J22" s="66" t="s">
        <v>97</v>
      </c>
      <c r="K22" s="5">
        <f>1*6000</f>
        <v>6000</v>
      </c>
      <c r="L22" s="29">
        <v>10.23</v>
      </c>
      <c r="M22" s="11">
        <f t="shared" si="4"/>
        <v>61380</v>
      </c>
      <c r="N22" s="153"/>
      <c r="O22" s="70"/>
      <c r="P22" s="181"/>
      <c r="Q22" s="66"/>
      <c r="R22" s="5"/>
      <c r="S22" s="54" t="s">
        <v>88</v>
      </c>
      <c r="T22" s="45">
        <f t="shared" si="5"/>
        <v>6000</v>
      </c>
      <c r="U22" s="47"/>
    </row>
    <row r="23" spans="2:21" s="3" customFormat="1" ht="18.75" customHeight="1">
      <c r="B23" s="7"/>
      <c r="C23" s="5"/>
      <c r="D23" s="27"/>
      <c r="E23" s="23"/>
      <c r="F23" s="27"/>
      <c r="G23" s="5" t="s">
        <v>31</v>
      </c>
      <c r="H23" s="27"/>
      <c r="I23" s="23"/>
      <c r="J23" s="27"/>
      <c r="K23" s="5"/>
      <c r="L23" s="29"/>
      <c r="M23" s="5"/>
      <c r="N23" s="5"/>
      <c r="O23" s="77"/>
      <c r="P23" s="5"/>
      <c r="Q23" s="5"/>
      <c r="R23" s="28"/>
      <c r="S23" s="54"/>
      <c r="T23" s="45"/>
    </row>
    <row r="24" spans="2:21" s="3" customFormat="1" ht="16.5" customHeight="1">
      <c r="B24" s="184" t="s">
        <v>3</v>
      </c>
      <c r="C24" s="184"/>
      <c r="D24" s="184"/>
      <c r="E24" s="184"/>
      <c r="F24" s="184"/>
      <c r="G24" s="184"/>
      <c r="H24" s="185"/>
      <c r="I24" s="68">
        <f>SUM(I21:I23)</f>
        <v>2</v>
      </c>
      <c r="J24" s="179"/>
      <c r="K24" s="68">
        <f>SUM(K21:K23)</f>
        <v>12000</v>
      </c>
      <c r="L24" s="42"/>
      <c r="M24" s="43">
        <f>SUM(M21:M23)</f>
        <v>122760</v>
      </c>
      <c r="N24" s="78"/>
      <c r="O24" s="78"/>
      <c r="P24" s="43"/>
      <c r="Q24" s="43"/>
      <c r="R24" s="44">
        <f>SUM(R21:R23)</f>
        <v>0</v>
      </c>
      <c r="S24" s="56"/>
      <c r="T24" s="41">
        <f>SUM(T21:T23)</f>
        <v>12000</v>
      </c>
    </row>
    <row r="25" spans="2:21" s="3" customFormat="1" ht="18" customHeight="1">
      <c r="B25" s="170" t="s">
        <v>49</v>
      </c>
      <c r="C25" s="153">
        <v>488</v>
      </c>
      <c r="D25" s="70">
        <v>46243</v>
      </c>
      <c r="E25" s="176">
        <v>13068</v>
      </c>
      <c r="F25" s="70">
        <v>46243</v>
      </c>
      <c r="G25" s="58" t="s">
        <v>87</v>
      </c>
      <c r="H25" s="70">
        <v>46247</v>
      </c>
      <c r="I25" s="181">
        <v>5</v>
      </c>
      <c r="J25" s="66" t="s">
        <v>125</v>
      </c>
      <c r="K25" s="5">
        <f>5*1000</f>
        <v>5000</v>
      </c>
      <c r="L25" s="29">
        <v>7.27</v>
      </c>
      <c r="M25" s="11">
        <f t="shared" ref="M25:M27" si="6">+K25*L25</f>
        <v>36350</v>
      </c>
      <c r="N25" s="153"/>
      <c r="O25" s="70"/>
      <c r="P25" s="181"/>
      <c r="Q25" s="66"/>
      <c r="R25" s="5"/>
      <c r="S25" s="54" t="s">
        <v>88</v>
      </c>
      <c r="T25" s="45">
        <f t="shared" ref="T25:T27" si="7">+K25-R25</f>
        <v>5000</v>
      </c>
      <c r="U25" s="47"/>
    </row>
    <row r="26" spans="2:21" s="3" customFormat="1" ht="18" customHeight="1">
      <c r="B26" s="170" t="s">
        <v>49</v>
      </c>
      <c r="C26" s="153">
        <v>492</v>
      </c>
      <c r="D26" s="70">
        <v>46246</v>
      </c>
      <c r="E26" s="176">
        <v>13084</v>
      </c>
      <c r="F26" s="70">
        <v>46246</v>
      </c>
      <c r="G26" s="58" t="s">
        <v>87</v>
      </c>
      <c r="H26" s="70">
        <v>46252</v>
      </c>
      <c r="I26" s="181">
        <v>1</v>
      </c>
      <c r="J26" s="66" t="s">
        <v>118</v>
      </c>
      <c r="K26" s="5">
        <f>1*12000</f>
        <v>12000</v>
      </c>
      <c r="L26" s="29">
        <v>7.27</v>
      </c>
      <c r="M26" s="11">
        <f t="shared" si="6"/>
        <v>87240</v>
      </c>
      <c r="N26" s="153"/>
      <c r="O26" s="70"/>
      <c r="P26" s="181"/>
      <c r="Q26" s="66"/>
      <c r="R26" s="5"/>
      <c r="S26" s="54" t="s">
        <v>88</v>
      </c>
      <c r="T26" s="45">
        <f t="shared" si="7"/>
        <v>12000</v>
      </c>
      <c r="U26" s="47"/>
    </row>
    <row r="27" spans="2:21" s="3" customFormat="1" ht="18" customHeight="1">
      <c r="B27" s="170" t="s">
        <v>49</v>
      </c>
      <c r="C27" s="153">
        <v>547</v>
      </c>
      <c r="D27" s="70">
        <v>46265</v>
      </c>
      <c r="E27" s="183">
        <v>13180</v>
      </c>
      <c r="F27" s="70">
        <v>46265</v>
      </c>
      <c r="G27" s="58" t="s">
        <v>87</v>
      </c>
      <c r="H27" s="70">
        <v>46270</v>
      </c>
      <c r="I27" s="181">
        <v>1</v>
      </c>
      <c r="J27" s="66" t="s">
        <v>118</v>
      </c>
      <c r="K27" s="5">
        <f>1*12000</f>
        <v>12000</v>
      </c>
      <c r="L27" s="29">
        <v>7.27</v>
      </c>
      <c r="M27" s="11">
        <f t="shared" si="6"/>
        <v>87240</v>
      </c>
      <c r="N27" s="153"/>
      <c r="O27" s="70"/>
      <c r="P27" s="181"/>
      <c r="Q27" s="66"/>
      <c r="R27" s="5"/>
      <c r="S27" s="54" t="s">
        <v>88</v>
      </c>
      <c r="T27" s="45">
        <f t="shared" si="7"/>
        <v>12000</v>
      </c>
      <c r="U27" s="47"/>
    </row>
    <row r="28" spans="2:21" s="3" customFormat="1" ht="19.5" customHeight="1">
      <c r="B28" s="7"/>
      <c r="C28" s="5"/>
      <c r="D28" s="27"/>
      <c r="E28" s="176"/>
      <c r="F28" s="27"/>
      <c r="G28" s="5"/>
      <c r="H28" s="27"/>
      <c r="I28" s="23"/>
      <c r="J28" s="27"/>
      <c r="K28" s="5"/>
      <c r="L28" s="23"/>
      <c r="M28" s="5"/>
      <c r="N28" s="5"/>
      <c r="O28" s="77"/>
      <c r="P28" s="5"/>
      <c r="Q28" s="5"/>
      <c r="R28" s="28"/>
      <c r="S28" s="54"/>
      <c r="T28" s="45"/>
    </row>
    <row r="29" spans="2:21" s="3" customFormat="1" ht="18" customHeight="1">
      <c r="B29" s="184" t="s">
        <v>3</v>
      </c>
      <c r="C29" s="184"/>
      <c r="D29" s="184"/>
      <c r="E29" s="184"/>
      <c r="F29" s="184"/>
      <c r="G29" s="184"/>
      <c r="H29" s="185"/>
      <c r="I29" s="68">
        <f>SUM(I25:I28)</f>
        <v>7</v>
      </c>
      <c r="J29" s="65"/>
      <c r="K29" s="41">
        <f>SUM(K25:K28)</f>
        <v>29000</v>
      </c>
      <c r="L29" s="42"/>
      <c r="M29" s="43">
        <f>ROUND(SUM(M25:M28),0)</f>
        <v>210830</v>
      </c>
      <c r="N29" s="78"/>
      <c r="O29" s="78"/>
      <c r="P29" s="43"/>
      <c r="Q29" s="43"/>
      <c r="R29" s="44">
        <f>SUM(R25:R28)</f>
        <v>0</v>
      </c>
      <c r="S29" s="56"/>
      <c r="T29" s="41">
        <f>SUM(T25:T28)</f>
        <v>29000</v>
      </c>
    </row>
    <row r="30" spans="2:21" s="3" customFormat="1" ht="18" customHeight="1">
      <c r="B30" s="170" t="s">
        <v>50</v>
      </c>
      <c r="C30" s="153">
        <v>557</v>
      </c>
      <c r="D30" s="70">
        <v>46265</v>
      </c>
      <c r="E30" s="183">
        <v>13180</v>
      </c>
      <c r="F30" s="70">
        <v>46265</v>
      </c>
      <c r="G30" s="58" t="s">
        <v>87</v>
      </c>
      <c r="H30" s="70">
        <v>46270</v>
      </c>
      <c r="I30" s="181">
        <v>1</v>
      </c>
      <c r="J30" s="66" t="s">
        <v>133</v>
      </c>
      <c r="K30" s="5">
        <f>1*5000</f>
        <v>5000</v>
      </c>
      <c r="L30" s="29">
        <v>10.9</v>
      </c>
      <c r="M30" s="11">
        <f t="shared" ref="M30:M31" si="8">+K30*L30</f>
        <v>54500</v>
      </c>
      <c r="N30" s="153"/>
      <c r="O30" s="70"/>
      <c r="P30" s="181"/>
      <c r="Q30" s="66"/>
      <c r="R30" s="5"/>
      <c r="S30" s="54" t="s">
        <v>88</v>
      </c>
      <c r="T30" s="45">
        <f t="shared" ref="T30:T31" si="9">+K30-R30</f>
        <v>5000</v>
      </c>
      <c r="U30" s="47"/>
    </row>
    <row r="31" spans="2:21" s="3" customFormat="1" ht="18" customHeight="1">
      <c r="B31" s="170" t="s">
        <v>50</v>
      </c>
      <c r="C31" s="153">
        <v>548</v>
      </c>
      <c r="D31" s="70">
        <v>46265</v>
      </c>
      <c r="E31" s="183">
        <v>13180</v>
      </c>
      <c r="F31" s="70">
        <v>46265</v>
      </c>
      <c r="G31" s="58" t="s">
        <v>87</v>
      </c>
      <c r="H31" s="70">
        <v>46270</v>
      </c>
      <c r="I31" s="181">
        <v>3</v>
      </c>
      <c r="J31" s="66" t="s">
        <v>136</v>
      </c>
      <c r="K31" s="5">
        <f>3*5000</f>
        <v>15000</v>
      </c>
      <c r="L31" s="29">
        <v>10.9</v>
      </c>
      <c r="M31" s="11">
        <f t="shared" si="8"/>
        <v>163500</v>
      </c>
      <c r="N31" s="153"/>
      <c r="O31" s="70"/>
      <c r="P31" s="181"/>
      <c r="Q31" s="66"/>
      <c r="R31" s="5"/>
      <c r="S31" s="54" t="s">
        <v>88</v>
      </c>
      <c r="T31" s="45">
        <f t="shared" si="9"/>
        <v>15000</v>
      </c>
      <c r="U31" s="47"/>
    </row>
    <row r="32" spans="2:21" s="3" customFormat="1" ht="18" customHeight="1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5"/>
      <c r="O32" s="77"/>
      <c r="P32" s="5"/>
      <c r="Q32" s="5"/>
      <c r="R32" s="28"/>
      <c r="S32" s="54"/>
      <c r="T32" s="45"/>
    </row>
    <row r="33" spans="2:21" s="3" customFormat="1" ht="18" customHeight="1">
      <c r="B33" s="184" t="s">
        <v>3</v>
      </c>
      <c r="C33" s="184"/>
      <c r="D33" s="184"/>
      <c r="E33" s="184"/>
      <c r="F33" s="184"/>
      <c r="G33" s="184"/>
      <c r="H33" s="185"/>
      <c r="I33" s="68">
        <f>SUM(I30:I32)</f>
        <v>4</v>
      </c>
      <c r="J33" s="65"/>
      <c r="K33" s="68">
        <f>SUM(K30:K32)</f>
        <v>20000</v>
      </c>
      <c r="L33" s="42"/>
      <c r="M33" s="43">
        <f>SUM(M30:M32)</f>
        <v>218000</v>
      </c>
      <c r="N33" s="78"/>
      <c r="O33" s="78"/>
      <c r="P33" s="43"/>
      <c r="Q33" s="43"/>
      <c r="R33" s="44">
        <f>SUM(R30:R32)</f>
        <v>0</v>
      </c>
      <c r="S33" s="56"/>
      <c r="T33" s="41">
        <f>SUM(T30:T32)</f>
        <v>20000</v>
      </c>
    </row>
    <row r="34" spans="2:21" s="3" customFormat="1" ht="18" customHeight="1">
      <c r="B34" s="170" t="s">
        <v>51</v>
      </c>
      <c r="C34" s="153">
        <v>522</v>
      </c>
      <c r="D34" s="70">
        <v>46255</v>
      </c>
      <c r="E34" s="176">
        <v>13132</v>
      </c>
      <c r="F34" s="70">
        <v>46255</v>
      </c>
      <c r="G34" s="58" t="s">
        <v>87</v>
      </c>
      <c r="H34" s="70">
        <v>46260</v>
      </c>
      <c r="I34" s="181">
        <f>2+1-2</f>
        <v>1</v>
      </c>
      <c r="J34" s="66" t="s">
        <v>130</v>
      </c>
      <c r="K34" s="5">
        <f>2*10000+1*9000-20000</f>
        <v>9000</v>
      </c>
      <c r="L34" s="29">
        <v>8.16</v>
      </c>
      <c r="M34" s="11">
        <f t="shared" ref="M34" si="10">+K34*L34</f>
        <v>73440</v>
      </c>
      <c r="N34" s="153"/>
      <c r="O34" s="70"/>
      <c r="P34" s="181"/>
      <c r="Q34" s="66"/>
      <c r="R34" s="5"/>
      <c r="S34" s="54" t="s">
        <v>88</v>
      </c>
      <c r="T34" s="45">
        <f t="shared" ref="T34" si="11">+K34-R34</f>
        <v>9000</v>
      </c>
      <c r="U34" s="47"/>
    </row>
    <row r="35" spans="2:21" s="3" customFormat="1" ht="18" customHeight="1">
      <c r="B35" s="170" t="s">
        <v>51</v>
      </c>
      <c r="C35" s="153">
        <v>532</v>
      </c>
      <c r="D35" s="70">
        <v>46258</v>
      </c>
      <c r="E35" s="183">
        <v>13150</v>
      </c>
      <c r="F35" s="70">
        <v>46258</v>
      </c>
      <c r="G35" s="58" t="s">
        <v>87</v>
      </c>
      <c r="H35" s="70">
        <v>46262</v>
      </c>
      <c r="I35" s="181">
        <v>1</v>
      </c>
      <c r="J35" s="66" t="s">
        <v>120</v>
      </c>
      <c r="K35" s="5">
        <f>1*10000</f>
        <v>10000</v>
      </c>
      <c r="L35" s="29">
        <v>8.16</v>
      </c>
      <c r="M35" s="11">
        <f t="shared" ref="M35:M36" si="12">+K35*L35</f>
        <v>81600</v>
      </c>
      <c r="N35" s="153"/>
      <c r="O35" s="70"/>
      <c r="P35" s="181"/>
      <c r="Q35" s="66"/>
      <c r="R35" s="5"/>
      <c r="S35" s="54" t="s">
        <v>88</v>
      </c>
      <c r="T35" s="45">
        <f t="shared" ref="T35:T36" si="13">+K35-R35</f>
        <v>10000</v>
      </c>
      <c r="U35" s="47"/>
    </row>
    <row r="36" spans="2:21" s="3" customFormat="1" ht="18" customHeight="1">
      <c r="B36" s="170" t="s">
        <v>51</v>
      </c>
      <c r="C36" s="153">
        <v>538</v>
      </c>
      <c r="D36" s="70">
        <v>46260</v>
      </c>
      <c r="E36" s="183">
        <v>13158</v>
      </c>
      <c r="F36" s="70">
        <v>46260</v>
      </c>
      <c r="G36" s="58" t="s">
        <v>87</v>
      </c>
      <c r="H36" s="70">
        <v>46262</v>
      </c>
      <c r="I36" s="181">
        <v>1</v>
      </c>
      <c r="J36" s="66" t="s">
        <v>120</v>
      </c>
      <c r="K36" s="5">
        <f>1*10000</f>
        <v>10000</v>
      </c>
      <c r="L36" s="29">
        <v>8.16</v>
      </c>
      <c r="M36" s="11">
        <f t="shared" si="12"/>
        <v>81600</v>
      </c>
      <c r="N36" s="153"/>
      <c r="O36" s="70"/>
      <c r="P36" s="181"/>
      <c r="Q36" s="66"/>
      <c r="R36" s="5"/>
      <c r="S36" s="54" t="s">
        <v>88</v>
      </c>
      <c r="T36" s="45">
        <f t="shared" si="13"/>
        <v>10000</v>
      </c>
      <c r="U36" s="47"/>
    </row>
    <row r="37" spans="2:21" s="3" customFormat="1" ht="18" customHeight="1">
      <c r="B37" s="170" t="s">
        <v>51</v>
      </c>
      <c r="C37" s="153">
        <v>558</v>
      </c>
      <c r="D37" s="70">
        <v>46265</v>
      </c>
      <c r="E37" s="183">
        <v>13180</v>
      </c>
      <c r="F37" s="70">
        <v>46265</v>
      </c>
      <c r="G37" s="58" t="s">
        <v>87</v>
      </c>
      <c r="H37" s="70">
        <v>46270</v>
      </c>
      <c r="I37" s="181">
        <v>1</v>
      </c>
      <c r="J37" s="66" t="s">
        <v>120</v>
      </c>
      <c r="K37" s="5">
        <f>1*10000</f>
        <v>10000</v>
      </c>
      <c r="L37" s="29">
        <v>8.16</v>
      </c>
      <c r="M37" s="11">
        <f t="shared" ref="M37:M38" si="14">+K37*L37</f>
        <v>81600</v>
      </c>
      <c r="N37" s="153"/>
      <c r="O37" s="70"/>
      <c r="P37" s="181"/>
      <c r="Q37" s="66"/>
      <c r="R37" s="5"/>
      <c r="S37" s="54" t="s">
        <v>88</v>
      </c>
      <c r="T37" s="45">
        <f t="shared" ref="T37:T38" si="15">+K37-R37</f>
        <v>10000</v>
      </c>
      <c r="U37" s="47"/>
    </row>
    <row r="38" spans="2:21" s="3" customFormat="1" ht="18" customHeight="1">
      <c r="B38" s="170" t="s">
        <v>51</v>
      </c>
      <c r="C38" s="153">
        <v>549</v>
      </c>
      <c r="D38" s="70">
        <v>46265</v>
      </c>
      <c r="E38" s="183">
        <v>13180</v>
      </c>
      <c r="F38" s="70">
        <v>46265</v>
      </c>
      <c r="G38" s="58" t="s">
        <v>87</v>
      </c>
      <c r="H38" s="70">
        <v>46270</v>
      </c>
      <c r="I38" s="181">
        <v>1</v>
      </c>
      <c r="J38" s="66" t="s">
        <v>120</v>
      </c>
      <c r="K38" s="5">
        <f>1*10000</f>
        <v>10000</v>
      </c>
      <c r="L38" s="29">
        <v>8.16</v>
      </c>
      <c r="M38" s="11">
        <f t="shared" si="14"/>
        <v>81600</v>
      </c>
      <c r="N38" s="153"/>
      <c r="O38" s="70"/>
      <c r="P38" s="181"/>
      <c r="Q38" s="66"/>
      <c r="R38" s="5"/>
      <c r="S38" s="54" t="s">
        <v>88</v>
      </c>
      <c r="T38" s="45">
        <f t="shared" si="15"/>
        <v>10000</v>
      </c>
      <c r="U38" s="47"/>
    </row>
    <row r="39" spans="2:21" s="3" customFormat="1" ht="18" customHeight="1">
      <c r="B39" s="7"/>
      <c r="C39" s="5"/>
      <c r="D39" s="27"/>
      <c r="E39" s="23"/>
      <c r="F39" s="27"/>
      <c r="G39" s="58"/>
      <c r="H39" s="27"/>
      <c r="I39" s="23"/>
      <c r="J39" s="27"/>
      <c r="K39" s="5"/>
      <c r="L39" s="23"/>
      <c r="M39" s="5"/>
      <c r="N39" s="5"/>
      <c r="O39" s="77"/>
      <c r="P39" s="5"/>
      <c r="Q39" s="5"/>
      <c r="R39" s="28"/>
      <c r="S39" s="54"/>
      <c r="T39" s="45"/>
    </row>
    <row r="40" spans="2:21" s="3" customFormat="1" ht="18" customHeight="1">
      <c r="B40" s="184" t="s">
        <v>3</v>
      </c>
      <c r="C40" s="184"/>
      <c r="D40" s="184"/>
      <c r="E40" s="184"/>
      <c r="F40" s="184"/>
      <c r="G40" s="184"/>
      <c r="H40" s="185"/>
      <c r="I40" s="68">
        <f>SUM(I34:I39)</f>
        <v>5</v>
      </c>
      <c r="J40" s="65"/>
      <c r="K40" s="41">
        <f>SUM(K34:K39)</f>
        <v>49000</v>
      </c>
      <c r="L40" s="42"/>
      <c r="M40" s="43">
        <f>ROUND(SUM(M34:M39),0)</f>
        <v>399840</v>
      </c>
      <c r="N40" s="78"/>
      <c r="O40" s="78"/>
      <c r="P40" s="43"/>
      <c r="Q40" s="43"/>
      <c r="R40" s="44">
        <f>SUM(R34:R39)</f>
        <v>0</v>
      </c>
      <c r="S40" s="56"/>
      <c r="T40" s="41">
        <f>SUM(T34:T39)</f>
        <v>49000</v>
      </c>
    </row>
    <row r="41" spans="2:21" s="3" customFormat="1" ht="18" customHeight="1">
      <c r="B41" s="170" t="s">
        <v>36</v>
      </c>
      <c r="C41" s="153">
        <v>555</v>
      </c>
      <c r="D41" s="70">
        <v>46265</v>
      </c>
      <c r="E41" s="183">
        <v>13180</v>
      </c>
      <c r="F41" s="70">
        <v>46265</v>
      </c>
      <c r="G41" s="58" t="s">
        <v>87</v>
      </c>
      <c r="H41" s="70">
        <v>46270</v>
      </c>
      <c r="I41" s="181">
        <v>1</v>
      </c>
      <c r="J41" s="66" t="s">
        <v>97</v>
      </c>
      <c r="K41" s="5">
        <f>1*6000</f>
        <v>6000</v>
      </c>
      <c r="L41" s="29">
        <v>11.3</v>
      </c>
      <c r="M41" s="11">
        <f t="shared" ref="M41:M42" si="16">+K41*L41</f>
        <v>67800</v>
      </c>
      <c r="N41" s="153"/>
      <c r="O41" s="70"/>
      <c r="P41" s="181"/>
      <c r="Q41" s="66"/>
      <c r="R41" s="5"/>
      <c r="S41" s="54" t="s">
        <v>88</v>
      </c>
      <c r="T41" s="45">
        <f t="shared" ref="T41:T42" si="17">+K41-R41</f>
        <v>6000</v>
      </c>
      <c r="U41" s="47"/>
    </row>
    <row r="42" spans="2:21" s="3" customFormat="1" ht="18" customHeight="1">
      <c r="B42" s="170" t="s">
        <v>36</v>
      </c>
      <c r="C42" s="153">
        <v>550</v>
      </c>
      <c r="D42" s="70">
        <v>46265</v>
      </c>
      <c r="E42" s="183">
        <v>13180</v>
      </c>
      <c r="F42" s="70">
        <v>46265</v>
      </c>
      <c r="G42" s="58" t="s">
        <v>87</v>
      </c>
      <c r="H42" s="70">
        <v>46270</v>
      </c>
      <c r="I42" s="181">
        <v>2</v>
      </c>
      <c r="J42" s="66" t="s">
        <v>111</v>
      </c>
      <c r="K42" s="5">
        <f>2*6000</f>
        <v>12000</v>
      </c>
      <c r="L42" s="29">
        <v>11.3</v>
      </c>
      <c r="M42" s="11">
        <f t="shared" si="16"/>
        <v>135600</v>
      </c>
      <c r="N42" s="153"/>
      <c r="O42" s="70"/>
      <c r="P42" s="181"/>
      <c r="Q42" s="66"/>
      <c r="R42" s="5"/>
      <c r="S42" s="54" t="s">
        <v>88</v>
      </c>
      <c r="T42" s="45">
        <f t="shared" si="17"/>
        <v>12000</v>
      </c>
      <c r="U42" s="47"/>
    </row>
    <row r="43" spans="2:21" s="3" customFormat="1" ht="18" customHeight="1">
      <c r="B43" s="7"/>
      <c r="C43" s="5"/>
      <c r="D43" s="27"/>
      <c r="E43" s="23"/>
      <c r="F43" s="27"/>
      <c r="G43" s="58"/>
      <c r="H43" s="27"/>
      <c r="I43" s="23"/>
      <c r="J43" s="27"/>
      <c r="K43" s="5"/>
      <c r="L43" s="23"/>
      <c r="M43" s="5"/>
      <c r="N43" s="5"/>
      <c r="O43" s="77"/>
      <c r="P43" s="5"/>
      <c r="Q43" s="5"/>
      <c r="R43" s="28"/>
      <c r="S43" s="54"/>
      <c r="T43" s="45"/>
    </row>
    <row r="44" spans="2:21" s="3" customFormat="1" ht="18" customHeight="1">
      <c r="B44" s="184" t="s">
        <v>3</v>
      </c>
      <c r="C44" s="184"/>
      <c r="D44" s="184"/>
      <c r="E44" s="184"/>
      <c r="F44" s="184"/>
      <c r="G44" s="184"/>
      <c r="H44" s="185"/>
      <c r="I44" s="68">
        <f>SUM(I41:I43)</f>
        <v>3</v>
      </c>
      <c r="J44" s="65"/>
      <c r="K44" s="41">
        <f>SUM(K41:K43)</f>
        <v>18000</v>
      </c>
      <c r="L44" s="42"/>
      <c r="M44" s="43">
        <f>ROUND(SUM(M41:M43),0)</f>
        <v>203400</v>
      </c>
      <c r="N44" s="78"/>
      <c r="O44" s="78"/>
      <c r="P44" s="43"/>
      <c r="Q44" s="43"/>
      <c r="R44" s="44">
        <f>SUM(R41:R43)</f>
        <v>0</v>
      </c>
      <c r="S44" s="56"/>
      <c r="T44" s="41">
        <f>SUM(T41:T43)</f>
        <v>18000</v>
      </c>
    </row>
    <row r="45" spans="2:21" s="3" customFormat="1" ht="18" customHeight="1">
      <c r="B45" s="7" t="s">
        <v>35</v>
      </c>
      <c r="C45" s="153">
        <v>556</v>
      </c>
      <c r="D45" s="70">
        <v>46260</v>
      </c>
      <c r="E45" s="183">
        <v>13180</v>
      </c>
      <c r="F45" s="70">
        <v>46265</v>
      </c>
      <c r="G45" s="58" t="s">
        <v>87</v>
      </c>
      <c r="H45" s="70">
        <v>46270</v>
      </c>
      <c r="I45" s="181">
        <v>1</v>
      </c>
      <c r="J45" s="66" t="s">
        <v>118</v>
      </c>
      <c r="K45" s="5">
        <f>1*12000</f>
        <v>12000</v>
      </c>
      <c r="L45" s="29">
        <v>7.62</v>
      </c>
      <c r="M45" s="11">
        <f t="shared" ref="M45" si="18">+K45*L45</f>
        <v>91440</v>
      </c>
      <c r="N45" s="153"/>
      <c r="O45" s="70">
        <v>46270</v>
      </c>
      <c r="P45" s="181">
        <v>1</v>
      </c>
      <c r="Q45" s="66" t="s">
        <v>118</v>
      </c>
      <c r="R45" s="5">
        <f>1*12000</f>
        <v>12000</v>
      </c>
      <c r="S45" s="54">
        <v>46270</v>
      </c>
      <c r="T45" s="45">
        <f t="shared" ref="T45" si="19">+K45-R45</f>
        <v>0</v>
      </c>
      <c r="U45" s="47"/>
    </row>
    <row r="46" spans="2:21" s="3" customFormat="1" ht="18" customHeight="1">
      <c r="B46" s="7"/>
      <c r="C46" s="5"/>
      <c r="D46" s="27"/>
      <c r="E46" s="23"/>
      <c r="F46" s="27"/>
      <c r="G46" s="58"/>
      <c r="H46" s="27"/>
      <c r="I46" s="23"/>
      <c r="J46" s="27"/>
      <c r="K46" s="5"/>
      <c r="L46" s="29"/>
      <c r="M46" s="5"/>
      <c r="N46" s="5"/>
      <c r="O46" s="77"/>
      <c r="P46" s="5"/>
      <c r="Q46" s="5"/>
      <c r="R46" s="28"/>
      <c r="S46" s="54"/>
      <c r="T46" s="45"/>
    </row>
    <row r="47" spans="2:21" s="3" customFormat="1" ht="18" customHeight="1">
      <c r="B47" s="184" t="s">
        <v>3</v>
      </c>
      <c r="C47" s="184"/>
      <c r="D47" s="184"/>
      <c r="E47" s="184"/>
      <c r="F47" s="184"/>
      <c r="G47" s="184"/>
      <c r="H47" s="185"/>
      <c r="I47" s="68">
        <f>SUM(I45:I46)</f>
        <v>1</v>
      </c>
      <c r="J47" s="65"/>
      <c r="K47" s="41">
        <f>SUM(K45:K46)</f>
        <v>12000</v>
      </c>
      <c r="L47" s="42"/>
      <c r="M47" s="43">
        <f>ROUND(SUM(M45:M46),0)</f>
        <v>91440</v>
      </c>
      <c r="N47" s="78"/>
      <c r="O47" s="78"/>
      <c r="P47" s="43"/>
      <c r="Q47" s="43"/>
      <c r="R47" s="44">
        <f>SUM(R45:R46)</f>
        <v>12000</v>
      </c>
      <c r="S47" s="56"/>
      <c r="T47" s="41">
        <f>SUM(T45:T46)</f>
        <v>0</v>
      </c>
    </row>
    <row r="48" spans="2:21" s="3" customFormat="1" ht="18" customHeight="1">
      <c r="B48" s="7" t="s">
        <v>66</v>
      </c>
      <c r="C48" s="153">
        <v>495</v>
      </c>
      <c r="D48" s="70">
        <v>46246</v>
      </c>
      <c r="E48" s="176">
        <v>13084</v>
      </c>
      <c r="F48" s="70">
        <v>46246</v>
      </c>
      <c r="G48" s="58" t="s">
        <v>87</v>
      </c>
      <c r="H48" s="70">
        <v>46252</v>
      </c>
      <c r="I48" s="181">
        <v>1</v>
      </c>
      <c r="J48" s="66" t="s">
        <v>126</v>
      </c>
      <c r="K48" s="5">
        <f>1*1500</f>
        <v>1500</v>
      </c>
      <c r="L48" s="29">
        <v>7.82</v>
      </c>
      <c r="M48" s="11">
        <f t="shared" ref="M48" si="20">+K48*L48</f>
        <v>11730</v>
      </c>
      <c r="N48" s="153"/>
      <c r="O48" s="70"/>
      <c r="P48" s="181"/>
      <c r="Q48" s="66"/>
      <c r="R48" s="5"/>
      <c r="S48" s="54" t="s">
        <v>88</v>
      </c>
      <c r="T48" s="45">
        <f t="shared" ref="T48" si="21">+K48-R48</f>
        <v>1500</v>
      </c>
      <c r="U48" s="47"/>
    </row>
    <row r="49" spans="2:21" s="3" customFormat="1" ht="18" customHeight="1">
      <c r="B49" s="7"/>
      <c r="C49" s="5"/>
      <c r="D49" s="27"/>
      <c r="E49" s="23"/>
      <c r="F49" s="27"/>
      <c r="G49" s="58"/>
      <c r="H49" s="27"/>
      <c r="I49" s="23"/>
      <c r="J49" s="27"/>
      <c r="K49" s="5"/>
      <c r="L49" s="23"/>
      <c r="M49" s="5"/>
      <c r="N49" s="5"/>
      <c r="O49" s="77"/>
      <c r="P49" s="5"/>
      <c r="Q49" s="5"/>
      <c r="R49" s="28"/>
      <c r="S49" s="54"/>
      <c r="T49" s="45"/>
    </row>
    <row r="50" spans="2:21" s="3" customFormat="1" ht="18" customHeight="1">
      <c r="B50" s="184" t="s">
        <v>3</v>
      </c>
      <c r="C50" s="184"/>
      <c r="D50" s="184"/>
      <c r="E50" s="184"/>
      <c r="F50" s="184"/>
      <c r="G50" s="184"/>
      <c r="H50" s="185"/>
      <c r="I50" s="68">
        <f>SUM(I48:I49)</f>
        <v>1</v>
      </c>
      <c r="J50" s="65"/>
      <c r="K50" s="41">
        <f>SUM(K48:K49)</f>
        <v>1500</v>
      </c>
      <c r="L50" s="42"/>
      <c r="M50" s="43">
        <f>SUM(M48:M49)</f>
        <v>11730</v>
      </c>
      <c r="N50" s="78"/>
      <c r="O50" s="78"/>
      <c r="P50" s="43"/>
      <c r="Q50" s="43"/>
      <c r="R50" s="44">
        <f>SUM(R48:R49)</f>
        <v>0</v>
      </c>
      <c r="S50" s="56"/>
      <c r="T50" s="41">
        <f>SUM(T48:T49)</f>
        <v>1500</v>
      </c>
    </row>
    <row r="51" spans="2:21" s="3" customFormat="1" ht="18" customHeight="1">
      <c r="B51" s="7" t="s">
        <v>67</v>
      </c>
      <c r="C51" s="153">
        <v>405</v>
      </c>
      <c r="D51" s="70">
        <v>46223</v>
      </c>
      <c r="E51" s="176">
        <v>12969</v>
      </c>
      <c r="F51" s="70">
        <v>46223</v>
      </c>
      <c r="G51" s="58" t="s">
        <v>87</v>
      </c>
      <c r="H51" s="70">
        <v>46228</v>
      </c>
      <c r="I51" s="181">
        <v>7</v>
      </c>
      <c r="J51" s="66" t="s">
        <v>123</v>
      </c>
      <c r="K51" s="5">
        <f>7*3000</f>
        <v>21000</v>
      </c>
      <c r="L51" s="29">
        <v>19.14</v>
      </c>
      <c r="M51" s="11">
        <f t="shared" ref="M51:M62" si="22">+K51*L51</f>
        <v>401940</v>
      </c>
      <c r="N51" s="153"/>
      <c r="O51" s="70"/>
      <c r="P51" s="28"/>
      <c r="Q51" s="66"/>
      <c r="R51" s="5"/>
      <c r="S51" s="54" t="s">
        <v>88</v>
      </c>
      <c r="T51" s="45">
        <f t="shared" ref="T51:T56" si="23">+K51-R51</f>
        <v>21000</v>
      </c>
      <c r="U51" s="47"/>
    </row>
    <row r="52" spans="2:21" s="3" customFormat="1" ht="18" customHeight="1">
      <c r="B52" s="7" t="s">
        <v>67</v>
      </c>
      <c r="C52" s="153">
        <v>416</v>
      </c>
      <c r="D52" s="70">
        <v>46225</v>
      </c>
      <c r="E52" s="176">
        <v>12986</v>
      </c>
      <c r="F52" s="70">
        <v>46225</v>
      </c>
      <c r="G52" s="58" t="s">
        <v>87</v>
      </c>
      <c r="H52" s="70">
        <v>46230</v>
      </c>
      <c r="I52" s="181">
        <v>1</v>
      </c>
      <c r="J52" s="66" t="s">
        <v>113</v>
      </c>
      <c r="K52" s="5">
        <f>1*3000</f>
        <v>3000</v>
      </c>
      <c r="L52" s="29">
        <v>19.14</v>
      </c>
      <c r="M52" s="11">
        <f t="shared" si="22"/>
        <v>57420</v>
      </c>
      <c r="N52" s="153"/>
      <c r="O52" s="70"/>
      <c r="P52" s="181"/>
      <c r="Q52" s="66"/>
      <c r="R52" s="5"/>
      <c r="S52" s="54" t="s">
        <v>88</v>
      </c>
      <c r="T52" s="45">
        <f t="shared" si="23"/>
        <v>3000</v>
      </c>
      <c r="U52" s="47"/>
    </row>
    <row r="53" spans="2:21" s="3" customFormat="1" ht="18" customHeight="1">
      <c r="B53" s="7" t="s">
        <v>67</v>
      </c>
      <c r="C53" s="153">
        <v>424</v>
      </c>
      <c r="D53" s="70">
        <v>46228</v>
      </c>
      <c r="E53" s="176">
        <v>12996</v>
      </c>
      <c r="F53" s="70">
        <v>46228</v>
      </c>
      <c r="G53" s="58" t="s">
        <v>87</v>
      </c>
      <c r="H53" s="70">
        <v>46231</v>
      </c>
      <c r="I53" s="181">
        <v>2</v>
      </c>
      <c r="J53" s="66" t="s">
        <v>100</v>
      </c>
      <c r="K53" s="5">
        <f>2*3000</f>
        <v>6000</v>
      </c>
      <c r="L53" s="29">
        <v>19.14</v>
      </c>
      <c r="M53" s="11">
        <f t="shared" si="22"/>
        <v>114840</v>
      </c>
      <c r="N53" s="153"/>
      <c r="O53" s="70"/>
      <c r="P53" s="181"/>
      <c r="Q53" s="66"/>
      <c r="R53" s="5"/>
      <c r="S53" s="54" t="s">
        <v>88</v>
      </c>
      <c r="T53" s="45">
        <f t="shared" si="23"/>
        <v>6000</v>
      </c>
      <c r="U53" s="47"/>
    </row>
    <row r="54" spans="2:21" s="3" customFormat="1" ht="18" customHeight="1">
      <c r="B54" s="7" t="s">
        <v>67</v>
      </c>
      <c r="C54" s="153">
        <v>430</v>
      </c>
      <c r="D54" s="70">
        <v>46228</v>
      </c>
      <c r="E54" s="176">
        <v>12996</v>
      </c>
      <c r="F54" s="70">
        <v>46228</v>
      </c>
      <c r="G54" s="58" t="s">
        <v>87</v>
      </c>
      <c r="H54" s="70">
        <v>46231</v>
      </c>
      <c r="I54" s="181">
        <v>1</v>
      </c>
      <c r="J54" s="66" t="s">
        <v>113</v>
      </c>
      <c r="K54" s="5">
        <f>1*3000</f>
        <v>3000</v>
      </c>
      <c r="L54" s="29">
        <v>19.14</v>
      </c>
      <c r="M54" s="11">
        <f t="shared" si="22"/>
        <v>57420</v>
      </c>
      <c r="N54" s="153"/>
      <c r="O54" s="70"/>
      <c r="P54" s="181"/>
      <c r="Q54" s="66"/>
      <c r="R54" s="5"/>
      <c r="S54" s="54" t="s">
        <v>88</v>
      </c>
      <c r="T54" s="45">
        <f t="shared" si="23"/>
        <v>3000</v>
      </c>
      <c r="U54" s="47"/>
    </row>
    <row r="55" spans="2:21" s="3" customFormat="1" ht="18" customHeight="1">
      <c r="B55" s="7" t="s">
        <v>67</v>
      </c>
      <c r="C55" s="153">
        <v>441</v>
      </c>
      <c r="D55" s="70">
        <v>46233</v>
      </c>
      <c r="E55" s="176">
        <v>13028</v>
      </c>
      <c r="F55" s="70">
        <v>46233</v>
      </c>
      <c r="G55" s="58" t="s">
        <v>87</v>
      </c>
      <c r="H55" s="70">
        <v>46238</v>
      </c>
      <c r="I55" s="181">
        <v>5</v>
      </c>
      <c r="J55" s="66" t="s">
        <v>114</v>
      </c>
      <c r="K55" s="5">
        <f>5*3000</f>
        <v>15000</v>
      </c>
      <c r="L55" s="29">
        <v>19.14</v>
      </c>
      <c r="M55" s="11">
        <f t="shared" si="22"/>
        <v>287100</v>
      </c>
      <c r="N55" s="153"/>
      <c r="O55" s="70"/>
      <c r="P55" s="181"/>
      <c r="Q55" s="66"/>
      <c r="R55" s="5"/>
      <c r="S55" s="54" t="s">
        <v>88</v>
      </c>
      <c r="T55" s="45">
        <f t="shared" si="23"/>
        <v>15000</v>
      </c>
      <c r="U55" s="47"/>
    </row>
    <row r="56" spans="2:21" s="3" customFormat="1" ht="18" customHeight="1">
      <c r="B56" s="7" t="s">
        <v>67</v>
      </c>
      <c r="C56" s="153">
        <v>455</v>
      </c>
      <c r="D56" s="70">
        <v>46233</v>
      </c>
      <c r="E56" s="176">
        <v>13028</v>
      </c>
      <c r="F56" s="70">
        <v>46233</v>
      </c>
      <c r="G56" s="58" t="s">
        <v>87</v>
      </c>
      <c r="H56" s="70">
        <v>46238</v>
      </c>
      <c r="I56" s="181">
        <v>1</v>
      </c>
      <c r="J56" s="66" t="s">
        <v>113</v>
      </c>
      <c r="K56" s="5">
        <f>1*3000</f>
        <v>3000</v>
      </c>
      <c r="L56" s="29">
        <v>19.14</v>
      </c>
      <c r="M56" s="11">
        <f t="shared" si="22"/>
        <v>57420</v>
      </c>
      <c r="N56" s="153"/>
      <c r="O56" s="70"/>
      <c r="P56" s="181"/>
      <c r="Q56" s="66"/>
      <c r="R56" s="5"/>
      <c r="S56" s="54" t="s">
        <v>88</v>
      </c>
      <c r="T56" s="45">
        <f t="shared" si="23"/>
        <v>3000</v>
      </c>
      <c r="U56" s="47"/>
    </row>
    <row r="57" spans="2:21" s="3" customFormat="1" ht="18" customHeight="1">
      <c r="B57" s="7" t="s">
        <v>67</v>
      </c>
      <c r="C57" s="153">
        <v>465</v>
      </c>
      <c r="D57" s="70">
        <v>46238</v>
      </c>
      <c r="E57" s="176">
        <v>13053</v>
      </c>
      <c r="F57" s="70">
        <v>46238</v>
      </c>
      <c r="G57" s="58" t="s">
        <v>87</v>
      </c>
      <c r="H57" s="70">
        <v>46242</v>
      </c>
      <c r="I57" s="181">
        <v>3</v>
      </c>
      <c r="J57" s="66" t="s">
        <v>119</v>
      </c>
      <c r="K57" s="5">
        <f>3*3000</f>
        <v>9000</v>
      </c>
      <c r="L57" s="29">
        <v>19.14</v>
      </c>
      <c r="M57" s="11">
        <f t="shared" si="22"/>
        <v>172260</v>
      </c>
      <c r="N57" s="153"/>
      <c r="O57" s="70"/>
      <c r="P57" s="181"/>
      <c r="Q57" s="66"/>
      <c r="R57" s="5"/>
      <c r="S57" s="54" t="s">
        <v>88</v>
      </c>
      <c r="T57" s="45">
        <f t="shared" ref="T57:T62" si="24">+K57-R57</f>
        <v>9000</v>
      </c>
      <c r="U57" s="47"/>
    </row>
    <row r="58" spans="2:21" s="3" customFormat="1" ht="18" customHeight="1">
      <c r="B58" s="7" t="s">
        <v>67</v>
      </c>
      <c r="C58" s="153">
        <v>478</v>
      </c>
      <c r="D58" s="70">
        <v>46242</v>
      </c>
      <c r="E58" s="176">
        <v>13068</v>
      </c>
      <c r="F58" s="70">
        <v>46242</v>
      </c>
      <c r="G58" s="58" t="s">
        <v>87</v>
      </c>
      <c r="H58" s="70">
        <v>46247</v>
      </c>
      <c r="I58" s="181">
        <v>3</v>
      </c>
      <c r="J58" s="66" t="s">
        <v>119</v>
      </c>
      <c r="K58" s="5">
        <f>3*3000</f>
        <v>9000</v>
      </c>
      <c r="L58" s="29">
        <v>19.14</v>
      </c>
      <c r="M58" s="11">
        <f t="shared" si="22"/>
        <v>172260</v>
      </c>
      <c r="N58" s="153"/>
      <c r="O58" s="70"/>
      <c r="P58" s="181"/>
      <c r="Q58" s="66"/>
      <c r="R58" s="5"/>
      <c r="S58" s="54" t="s">
        <v>88</v>
      </c>
      <c r="T58" s="45">
        <f t="shared" si="24"/>
        <v>9000</v>
      </c>
      <c r="U58" s="47"/>
    </row>
    <row r="59" spans="2:21" s="3" customFormat="1" ht="18" customHeight="1">
      <c r="B59" s="7" t="s">
        <v>67</v>
      </c>
      <c r="C59" s="153">
        <v>499</v>
      </c>
      <c r="D59" s="70">
        <v>46246</v>
      </c>
      <c r="E59" s="176">
        <v>13084</v>
      </c>
      <c r="F59" s="70">
        <v>46246</v>
      </c>
      <c r="G59" s="58" t="s">
        <v>87</v>
      </c>
      <c r="H59" s="70">
        <v>46252</v>
      </c>
      <c r="I59" s="181">
        <v>1</v>
      </c>
      <c r="J59" s="66" t="s">
        <v>121</v>
      </c>
      <c r="K59" s="5">
        <f>1*2000</f>
        <v>2000</v>
      </c>
      <c r="L59" s="29">
        <v>19.14</v>
      </c>
      <c r="M59" s="11">
        <f t="shared" si="22"/>
        <v>38280</v>
      </c>
      <c r="N59" s="153"/>
      <c r="O59" s="70"/>
      <c r="P59" s="181"/>
      <c r="Q59" s="66"/>
      <c r="R59" s="5"/>
      <c r="S59" s="54" t="s">
        <v>88</v>
      </c>
      <c r="T59" s="45">
        <f t="shared" si="24"/>
        <v>2000</v>
      </c>
      <c r="U59" s="47"/>
    </row>
    <row r="60" spans="2:21" s="3" customFormat="1" ht="18" customHeight="1">
      <c r="B60" s="7" t="s">
        <v>67</v>
      </c>
      <c r="C60" s="153">
        <v>523</v>
      </c>
      <c r="D60" s="70">
        <v>46255</v>
      </c>
      <c r="E60" s="176">
        <v>13132</v>
      </c>
      <c r="F60" s="70">
        <v>46255</v>
      </c>
      <c r="G60" s="58" t="s">
        <v>87</v>
      </c>
      <c r="H60" s="70">
        <v>46260</v>
      </c>
      <c r="I60" s="181">
        <v>4</v>
      </c>
      <c r="J60" s="66" t="s">
        <v>112</v>
      </c>
      <c r="K60" s="5">
        <f>4*3000</f>
        <v>12000</v>
      </c>
      <c r="L60" s="29">
        <v>19.14</v>
      </c>
      <c r="M60" s="11">
        <f t="shared" si="22"/>
        <v>229680</v>
      </c>
      <c r="N60" s="153"/>
      <c r="O60" s="70"/>
      <c r="P60" s="181"/>
      <c r="Q60" s="66"/>
      <c r="R60" s="5"/>
      <c r="S60" s="54" t="s">
        <v>88</v>
      </c>
      <c r="T60" s="45">
        <f t="shared" si="24"/>
        <v>12000</v>
      </c>
      <c r="U60" s="47"/>
    </row>
    <row r="61" spans="2:21" s="3" customFormat="1" ht="18" customHeight="1">
      <c r="B61" s="7" t="s">
        <v>67</v>
      </c>
      <c r="C61" s="153">
        <v>533</v>
      </c>
      <c r="D61" s="70">
        <v>46258</v>
      </c>
      <c r="E61" s="183">
        <v>13150</v>
      </c>
      <c r="F61" s="70">
        <v>46258</v>
      </c>
      <c r="G61" s="58" t="s">
        <v>87</v>
      </c>
      <c r="H61" s="70">
        <v>46262</v>
      </c>
      <c r="I61" s="181">
        <v>5</v>
      </c>
      <c r="J61" s="66" t="s">
        <v>114</v>
      </c>
      <c r="K61" s="5">
        <f>5*3000</f>
        <v>15000</v>
      </c>
      <c r="L61" s="29">
        <v>19.14</v>
      </c>
      <c r="M61" s="11">
        <f t="shared" si="22"/>
        <v>287100</v>
      </c>
      <c r="N61" s="153"/>
      <c r="O61" s="70"/>
      <c r="P61" s="181"/>
      <c r="Q61" s="66"/>
      <c r="R61" s="5"/>
      <c r="S61" s="54" t="s">
        <v>88</v>
      </c>
      <c r="T61" s="45">
        <f t="shared" si="24"/>
        <v>15000</v>
      </c>
      <c r="U61" s="47"/>
    </row>
    <row r="62" spans="2:21" s="3" customFormat="1" ht="18" customHeight="1">
      <c r="B62" s="7" t="s">
        <v>67</v>
      </c>
      <c r="C62" s="153">
        <v>540</v>
      </c>
      <c r="D62" s="70">
        <v>46260</v>
      </c>
      <c r="E62" s="183">
        <v>13158</v>
      </c>
      <c r="F62" s="70">
        <v>46260</v>
      </c>
      <c r="G62" s="58" t="s">
        <v>87</v>
      </c>
      <c r="H62" s="70">
        <v>46262</v>
      </c>
      <c r="I62" s="181">
        <v>1</v>
      </c>
      <c r="J62" s="66" t="s">
        <v>113</v>
      </c>
      <c r="K62" s="5">
        <f>1*3000</f>
        <v>3000</v>
      </c>
      <c r="L62" s="29">
        <v>19.14</v>
      </c>
      <c r="M62" s="11">
        <f t="shared" si="22"/>
        <v>57420</v>
      </c>
      <c r="N62" s="153"/>
      <c r="O62" s="70"/>
      <c r="P62" s="181"/>
      <c r="Q62" s="66"/>
      <c r="R62" s="5"/>
      <c r="S62" s="54" t="s">
        <v>88</v>
      </c>
      <c r="T62" s="45">
        <f t="shared" si="24"/>
        <v>3000</v>
      </c>
      <c r="U62" s="47"/>
    </row>
    <row r="63" spans="2:21" s="3" customFormat="1" ht="18" customHeight="1">
      <c r="B63" s="7" t="s">
        <v>67</v>
      </c>
      <c r="C63" s="153">
        <v>542</v>
      </c>
      <c r="D63" s="70">
        <v>46260</v>
      </c>
      <c r="E63" s="183">
        <v>13158</v>
      </c>
      <c r="F63" s="70">
        <v>46260</v>
      </c>
      <c r="G63" s="58" t="s">
        <v>87</v>
      </c>
      <c r="H63" s="70">
        <v>46262</v>
      </c>
      <c r="I63" s="181">
        <v>1</v>
      </c>
      <c r="J63" s="66" t="s">
        <v>113</v>
      </c>
      <c r="K63" s="5">
        <f>1*3000</f>
        <v>3000</v>
      </c>
      <c r="L63" s="29">
        <v>19.14</v>
      </c>
      <c r="M63" s="11">
        <f t="shared" ref="M63:M64" si="25">+K63*L63</f>
        <v>57420</v>
      </c>
      <c r="N63" s="153"/>
      <c r="O63" s="70"/>
      <c r="P63" s="181"/>
      <c r="Q63" s="66"/>
      <c r="R63" s="5"/>
      <c r="S63" s="54" t="s">
        <v>88</v>
      </c>
      <c r="T63" s="45">
        <f t="shared" ref="T63:T64" si="26">+K63-R63</f>
        <v>3000</v>
      </c>
      <c r="U63" s="47"/>
    </row>
    <row r="64" spans="2:21" s="3" customFormat="1" ht="18" customHeight="1">
      <c r="B64" s="7" t="s">
        <v>67</v>
      </c>
      <c r="C64" s="153">
        <v>551</v>
      </c>
      <c r="D64" s="70">
        <v>46265</v>
      </c>
      <c r="E64" s="183">
        <v>13180</v>
      </c>
      <c r="F64" s="70">
        <v>46265</v>
      </c>
      <c r="G64" s="58" t="s">
        <v>87</v>
      </c>
      <c r="H64" s="70">
        <v>46270</v>
      </c>
      <c r="I64" s="181">
        <v>1</v>
      </c>
      <c r="J64" s="66" t="s">
        <v>135</v>
      </c>
      <c r="K64" s="5">
        <f>1*2800</f>
        <v>2800</v>
      </c>
      <c r="L64" s="29">
        <v>19.14</v>
      </c>
      <c r="M64" s="11">
        <f t="shared" si="25"/>
        <v>53592</v>
      </c>
      <c r="N64" s="153"/>
      <c r="O64" s="70"/>
      <c r="P64" s="181"/>
      <c r="Q64" s="66"/>
      <c r="R64" s="5"/>
      <c r="S64" s="54" t="s">
        <v>88</v>
      </c>
      <c r="T64" s="45">
        <f t="shared" si="26"/>
        <v>2800</v>
      </c>
      <c r="U64" s="47"/>
    </row>
    <row r="65" spans="2:21" s="3" customFormat="1" ht="18" customHeight="1">
      <c r="B65" s="7"/>
      <c r="C65" s="5"/>
      <c r="D65" s="27"/>
      <c r="E65" s="23"/>
      <c r="F65" s="27"/>
      <c r="G65" s="58"/>
      <c r="H65" s="27"/>
      <c r="I65" s="23"/>
      <c r="J65" s="27"/>
      <c r="K65" s="5"/>
      <c r="L65" s="23"/>
      <c r="M65" s="5"/>
      <c r="N65" s="5"/>
      <c r="O65" s="77"/>
      <c r="P65" s="5"/>
      <c r="Q65" s="5"/>
      <c r="R65" s="28"/>
      <c r="S65" s="54"/>
      <c r="T65" s="45"/>
    </row>
    <row r="66" spans="2:21" s="3" customFormat="1" ht="18" customHeight="1">
      <c r="B66" s="184" t="s">
        <v>3</v>
      </c>
      <c r="C66" s="184"/>
      <c r="D66" s="184"/>
      <c r="E66" s="184"/>
      <c r="F66" s="184"/>
      <c r="G66" s="184"/>
      <c r="H66" s="185"/>
      <c r="I66" s="68">
        <f>SUM(I51:I65)</f>
        <v>36</v>
      </c>
      <c r="J66" s="65"/>
      <c r="K66" s="41">
        <f>SUM(K51:K65)</f>
        <v>106800</v>
      </c>
      <c r="L66" s="42"/>
      <c r="M66" s="43">
        <f>ROUND(SUM(M51:M65),0)</f>
        <v>2044152</v>
      </c>
      <c r="N66" s="78"/>
      <c r="O66" s="78"/>
      <c r="P66" s="43"/>
      <c r="Q66" s="43"/>
      <c r="R66" s="44">
        <f>SUM(R51:R65)</f>
        <v>0</v>
      </c>
      <c r="S66" s="56"/>
      <c r="T66" s="41">
        <f>SUM(T51:T65)</f>
        <v>106800</v>
      </c>
    </row>
    <row r="67" spans="2:21" s="3" customFormat="1" ht="18" customHeight="1">
      <c r="B67" s="170" t="s">
        <v>68</v>
      </c>
      <c r="C67" s="153"/>
      <c r="D67" s="70"/>
      <c r="E67" s="183"/>
      <c r="F67" s="70"/>
      <c r="G67" s="58"/>
      <c r="H67" s="70"/>
      <c r="I67" s="181"/>
      <c r="J67" s="66"/>
      <c r="K67" s="5"/>
      <c r="L67" s="29"/>
      <c r="M67" s="11">
        <f t="shared" ref="M67" si="27">+K67*L67</f>
        <v>0</v>
      </c>
      <c r="N67" s="153"/>
      <c r="O67" s="70"/>
      <c r="P67" s="181"/>
      <c r="Q67" s="66"/>
      <c r="R67" s="5"/>
      <c r="S67" s="54"/>
      <c r="T67" s="45">
        <f t="shared" ref="T67" si="28">+K67-R67</f>
        <v>0</v>
      </c>
      <c r="U67" s="47"/>
    </row>
    <row r="68" spans="2:21" s="3" customFormat="1" ht="18" customHeight="1">
      <c r="B68" s="7"/>
      <c r="C68" s="5"/>
      <c r="D68" s="27"/>
      <c r="E68" s="23"/>
      <c r="F68" s="27"/>
      <c r="G68" s="58"/>
      <c r="H68" s="27"/>
      <c r="I68" s="23"/>
      <c r="J68" s="27"/>
      <c r="K68" s="5"/>
      <c r="L68" s="23"/>
      <c r="M68" s="5"/>
      <c r="N68" s="5"/>
      <c r="O68" s="77"/>
      <c r="P68" s="28"/>
      <c r="Q68" s="5"/>
      <c r="R68" s="28"/>
      <c r="S68" s="54"/>
      <c r="T68" s="45"/>
    </row>
    <row r="69" spans="2:21" s="3" customFormat="1" ht="18" customHeight="1">
      <c r="B69" s="184" t="s">
        <v>3</v>
      </c>
      <c r="C69" s="184"/>
      <c r="D69" s="184"/>
      <c r="E69" s="184"/>
      <c r="F69" s="184"/>
      <c r="G69" s="184"/>
      <c r="H69" s="185"/>
      <c r="I69" s="68">
        <f>SUM(I67:I68)</f>
        <v>0</v>
      </c>
      <c r="J69" s="65"/>
      <c r="K69" s="41">
        <f>SUM(K67:K68)</f>
        <v>0</v>
      </c>
      <c r="L69" s="42"/>
      <c r="M69" s="43">
        <f>ROUND(SUM(M67:M68),0)</f>
        <v>0</v>
      </c>
      <c r="N69" s="78"/>
      <c r="O69" s="78"/>
      <c r="P69" s="43"/>
      <c r="Q69" s="43"/>
      <c r="R69" s="44">
        <f>SUM(R67:R68)</f>
        <v>0</v>
      </c>
      <c r="S69" s="56"/>
      <c r="T69" s="41">
        <f>SUM(T67:T68)</f>
        <v>0</v>
      </c>
    </row>
    <row r="70" spans="2:21" s="3" customFormat="1" ht="18" customHeight="1">
      <c r="B70" s="170" t="s">
        <v>69</v>
      </c>
      <c r="C70" s="153">
        <v>515</v>
      </c>
      <c r="D70" s="70">
        <v>46255</v>
      </c>
      <c r="E70" s="176">
        <v>13132</v>
      </c>
      <c r="F70" s="70">
        <v>46255</v>
      </c>
      <c r="G70" s="58" t="s">
        <v>87</v>
      </c>
      <c r="H70" s="70">
        <v>46260</v>
      </c>
      <c r="I70" s="181">
        <v>13</v>
      </c>
      <c r="J70" s="66" t="s">
        <v>128</v>
      </c>
      <c r="K70" s="5">
        <f>13*2000</f>
        <v>26000</v>
      </c>
      <c r="L70" s="29">
        <v>25.54</v>
      </c>
      <c r="M70" s="11">
        <f t="shared" ref="M70" si="29">+K70*L70</f>
        <v>664040</v>
      </c>
      <c r="N70" s="153"/>
      <c r="O70" s="70"/>
      <c r="P70" s="181"/>
      <c r="Q70" s="66"/>
      <c r="R70" s="5"/>
      <c r="S70" s="54" t="s">
        <v>88</v>
      </c>
      <c r="T70" s="45">
        <f t="shared" ref="T70" si="30">+K70-R70</f>
        <v>26000</v>
      </c>
      <c r="U70" s="47"/>
    </row>
    <row r="71" spans="2:21" s="3" customFormat="1" ht="18" customHeight="1">
      <c r="B71" s="170" t="s">
        <v>69</v>
      </c>
      <c r="C71" s="153">
        <v>525</v>
      </c>
      <c r="D71" s="70">
        <v>46258</v>
      </c>
      <c r="E71" s="183">
        <v>13150</v>
      </c>
      <c r="F71" s="70">
        <v>46258</v>
      </c>
      <c r="G71" s="58" t="s">
        <v>87</v>
      </c>
      <c r="H71" s="70">
        <v>46262</v>
      </c>
      <c r="I71" s="181">
        <v>11</v>
      </c>
      <c r="J71" s="66" t="s">
        <v>129</v>
      </c>
      <c r="K71" s="5">
        <f>11*2000</f>
        <v>22000</v>
      </c>
      <c r="L71" s="29">
        <v>25.54</v>
      </c>
      <c r="M71" s="11">
        <f t="shared" ref="M71:M74" si="31">+K71*L71</f>
        <v>561880</v>
      </c>
      <c r="N71" s="153"/>
      <c r="O71" s="70"/>
      <c r="P71" s="181"/>
      <c r="Q71" s="66"/>
      <c r="R71" s="5"/>
      <c r="S71" s="54" t="s">
        <v>88</v>
      </c>
      <c r="T71" s="45">
        <f t="shared" ref="T71:T74" si="32">+K71-R71</f>
        <v>22000</v>
      </c>
      <c r="U71" s="47"/>
    </row>
    <row r="72" spans="2:21" s="3" customFormat="1" ht="18" customHeight="1">
      <c r="B72" s="170" t="s">
        <v>69</v>
      </c>
      <c r="C72" s="153">
        <v>534</v>
      </c>
      <c r="D72" s="70">
        <v>46260</v>
      </c>
      <c r="E72" s="183">
        <v>13158</v>
      </c>
      <c r="F72" s="70">
        <v>46260</v>
      </c>
      <c r="G72" s="58" t="s">
        <v>87</v>
      </c>
      <c r="H72" s="70">
        <v>46262</v>
      </c>
      <c r="I72" s="181">
        <v>3</v>
      </c>
      <c r="J72" s="66" t="s">
        <v>124</v>
      </c>
      <c r="K72" s="5">
        <f>3*2000</f>
        <v>6000</v>
      </c>
      <c r="L72" s="29">
        <v>25.54</v>
      </c>
      <c r="M72" s="11">
        <f t="shared" si="31"/>
        <v>153240</v>
      </c>
      <c r="N72" s="153"/>
      <c r="O72" s="70"/>
      <c r="P72" s="181"/>
      <c r="Q72" s="66"/>
      <c r="R72" s="5"/>
      <c r="S72" s="54" t="s">
        <v>88</v>
      </c>
      <c r="T72" s="45">
        <f t="shared" si="32"/>
        <v>6000</v>
      </c>
      <c r="U72" s="47"/>
    </row>
    <row r="73" spans="2:21" s="3" customFormat="1" ht="18" customHeight="1">
      <c r="B73" s="170" t="s">
        <v>69</v>
      </c>
      <c r="C73" s="153">
        <v>552</v>
      </c>
      <c r="D73" s="70">
        <v>46265</v>
      </c>
      <c r="E73" s="183">
        <v>13180</v>
      </c>
      <c r="F73" s="70">
        <v>46265</v>
      </c>
      <c r="G73" s="58" t="s">
        <v>87</v>
      </c>
      <c r="H73" s="70">
        <v>46270</v>
      </c>
      <c r="I73" s="181">
        <v>2</v>
      </c>
      <c r="J73" s="66" t="s">
        <v>134</v>
      </c>
      <c r="K73" s="5">
        <f>2*2000</f>
        <v>4000</v>
      </c>
      <c r="L73" s="29">
        <v>25.54</v>
      </c>
      <c r="M73" s="11">
        <f t="shared" si="31"/>
        <v>102160</v>
      </c>
      <c r="N73" s="153"/>
      <c r="O73" s="70"/>
      <c r="P73" s="181"/>
      <c r="Q73" s="66"/>
      <c r="R73" s="5"/>
      <c r="S73" s="54" t="s">
        <v>88</v>
      </c>
      <c r="T73" s="45">
        <f t="shared" si="32"/>
        <v>4000</v>
      </c>
      <c r="U73" s="47"/>
    </row>
    <row r="74" spans="2:21" s="3" customFormat="1" ht="18" customHeight="1">
      <c r="B74" s="170" t="s">
        <v>69</v>
      </c>
      <c r="C74" s="153">
        <v>544</v>
      </c>
      <c r="D74" s="70">
        <v>46265</v>
      </c>
      <c r="E74" s="183">
        <v>13180</v>
      </c>
      <c r="F74" s="70">
        <v>46265</v>
      </c>
      <c r="G74" s="58" t="s">
        <v>87</v>
      </c>
      <c r="H74" s="70">
        <v>46270</v>
      </c>
      <c r="I74" s="181">
        <v>7</v>
      </c>
      <c r="J74" s="66" t="s">
        <v>138</v>
      </c>
      <c r="K74" s="5">
        <f>7*2000</f>
        <v>14000</v>
      </c>
      <c r="L74" s="29">
        <v>25.54</v>
      </c>
      <c r="M74" s="11">
        <f t="shared" si="31"/>
        <v>357560</v>
      </c>
      <c r="N74" s="153"/>
      <c r="O74" s="70"/>
      <c r="P74" s="181"/>
      <c r="Q74" s="66"/>
      <c r="R74" s="5"/>
      <c r="S74" s="54" t="s">
        <v>88</v>
      </c>
      <c r="T74" s="45">
        <f t="shared" si="32"/>
        <v>14000</v>
      </c>
      <c r="U74" s="47"/>
    </row>
    <row r="75" spans="2:21" s="3" customFormat="1" ht="18" customHeight="1">
      <c r="B75" s="7"/>
      <c r="C75" s="5"/>
      <c r="D75" s="27"/>
      <c r="E75" s="23"/>
      <c r="F75" s="27"/>
      <c r="G75" s="58" t="s">
        <v>31</v>
      </c>
      <c r="H75" s="27"/>
      <c r="I75" s="23"/>
      <c r="J75" s="27"/>
      <c r="K75" s="5"/>
      <c r="L75" s="23"/>
      <c r="M75" s="5"/>
      <c r="N75" s="5"/>
      <c r="O75" s="77"/>
      <c r="P75" s="5"/>
      <c r="Q75" s="5"/>
      <c r="R75" s="28"/>
      <c r="S75" s="54"/>
      <c r="T75" s="45"/>
    </row>
    <row r="76" spans="2:21" s="3" customFormat="1" ht="18" customHeight="1">
      <c r="B76" s="184" t="s">
        <v>3</v>
      </c>
      <c r="C76" s="184"/>
      <c r="D76" s="184"/>
      <c r="E76" s="184"/>
      <c r="F76" s="184"/>
      <c r="G76" s="184"/>
      <c r="H76" s="185"/>
      <c r="I76" s="68">
        <f>SUM(I70:I75)</f>
        <v>36</v>
      </c>
      <c r="J76" s="65"/>
      <c r="K76" s="41">
        <f>SUM(K70:K75)</f>
        <v>72000</v>
      </c>
      <c r="L76" s="42"/>
      <c r="M76" s="43">
        <f>ROUND(SUM(M70:M75),0)</f>
        <v>1838880</v>
      </c>
      <c r="N76" s="78"/>
      <c r="O76" s="78"/>
      <c r="P76" s="43"/>
      <c r="Q76" s="43"/>
      <c r="R76" s="44">
        <f>SUM(R70:R75)</f>
        <v>0</v>
      </c>
      <c r="S76" s="56"/>
      <c r="T76" s="41">
        <f>SUM(T70:T75)</f>
        <v>72000</v>
      </c>
    </row>
    <row r="77" spans="2:21" s="3" customFormat="1" ht="18" customHeight="1">
      <c r="B77" s="170" t="s">
        <v>70</v>
      </c>
      <c r="C77" s="153">
        <v>553</v>
      </c>
      <c r="D77" s="70">
        <v>46265</v>
      </c>
      <c r="E77" s="183">
        <v>13180</v>
      </c>
      <c r="F77" s="70">
        <v>46265</v>
      </c>
      <c r="G77" s="58" t="s">
        <v>87</v>
      </c>
      <c r="H77" s="70">
        <v>46270</v>
      </c>
      <c r="I77" s="181">
        <v>1</v>
      </c>
      <c r="J77" s="66" t="s">
        <v>133</v>
      </c>
      <c r="K77" s="5">
        <f>1*5000</f>
        <v>5000</v>
      </c>
      <c r="L77" s="29">
        <v>16.47</v>
      </c>
      <c r="M77" s="11">
        <f t="shared" ref="M77:M78" si="33">+K77*L77</f>
        <v>82350</v>
      </c>
      <c r="N77" s="153"/>
      <c r="O77" s="70"/>
      <c r="P77" s="181"/>
      <c r="Q77" s="66"/>
      <c r="R77" s="5"/>
      <c r="S77" s="54" t="s">
        <v>88</v>
      </c>
      <c r="T77" s="45">
        <f t="shared" ref="T77:T78" si="34">+K77-R77</f>
        <v>5000</v>
      </c>
      <c r="U77" s="47"/>
    </row>
    <row r="78" spans="2:21" s="3" customFormat="1" ht="18" customHeight="1">
      <c r="B78" s="170" t="s">
        <v>70</v>
      </c>
      <c r="C78" s="153">
        <v>545</v>
      </c>
      <c r="D78" s="70">
        <v>46265</v>
      </c>
      <c r="E78" s="183">
        <v>13180</v>
      </c>
      <c r="F78" s="70">
        <v>46265</v>
      </c>
      <c r="G78" s="58" t="s">
        <v>87</v>
      </c>
      <c r="H78" s="70">
        <v>46270</v>
      </c>
      <c r="I78" s="181">
        <v>2</v>
      </c>
      <c r="J78" s="66" t="s">
        <v>137</v>
      </c>
      <c r="K78" s="5">
        <f>2*5000</f>
        <v>10000</v>
      </c>
      <c r="L78" s="29">
        <v>16.47</v>
      </c>
      <c r="M78" s="11">
        <f t="shared" si="33"/>
        <v>164700</v>
      </c>
      <c r="N78" s="153"/>
      <c r="O78" s="70"/>
      <c r="P78" s="181"/>
      <c r="Q78" s="66"/>
      <c r="R78" s="5"/>
      <c r="S78" s="54" t="s">
        <v>88</v>
      </c>
      <c r="T78" s="45">
        <f t="shared" si="34"/>
        <v>10000</v>
      </c>
      <c r="U78" s="47"/>
    </row>
    <row r="79" spans="2:21" s="3" customFormat="1" ht="18" customHeight="1">
      <c r="B79" s="7"/>
      <c r="C79" s="5"/>
      <c r="D79" s="27"/>
      <c r="E79" s="23"/>
      <c r="F79" s="27"/>
      <c r="G79" s="58"/>
      <c r="H79" s="27"/>
      <c r="I79" s="23"/>
      <c r="J79" s="27"/>
      <c r="K79" s="5"/>
      <c r="L79" s="23"/>
      <c r="M79" s="5"/>
      <c r="N79" s="163"/>
      <c r="O79" s="77"/>
      <c r="P79" s="5"/>
      <c r="Q79" s="5"/>
      <c r="R79" s="28"/>
      <c r="S79" s="54"/>
      <c r="T79" s="45"/>
    </row>
    <row r="80" spans="2:21" s="3" customFormat="1" ht="18" customHeight="1">
      <c r="B80" s="184" t="s">
        <v>3</v>
      </c>
      <c r="C80" s="184"/>
      <c r="D80" s="184"/>
      <c r="E80" s="184"/>
      <c r="F80" s="184"/>
      <c r="G80" s="184"/>
      <c r="H80" s="185"/>
      <c r="I80" s="68">
        <f>SUM(I77:I79)</f>
        <v>3</v>
      </c>
      <c r="J80" s="65"/>
      <c r="K80" s="41">
        <f>SUM(K77:K79)</f>
        <v>15000</v>
      </c>
      <c r="L80" s="42"/>
      <c r="M80" s="43">
        <f>ROUND(SUM(M77:M79),0)</f>
        <v>247050</v>
      </c>
      <c r="N80" s="78"/>
      <c r="O80" s="78"/>
      <c r="P80" s="43"/>
      <c r="Q80" s="43"/>
      <c r="R80" s="44">
        <f>SUM(R77:R79)</f>
        <v>0</v>
      </c>
      <c r="S80" s="56"/>
      <c r="T80" s="41">
        <f>SUM(T77:T79)</f>
        <v>15000</v>
      </c>
    </row>
  </sheetData>
  <autoFilter ref="B4:T80">
    <filterColumn colId="3"/>
    <filterColumn colId="4"/>
    <filterColumn colId="6"/>
    <filterColumn colId="13"/>
  </autoFilter>
  <mergeCells count="15">
    <mergeCell ref="B44:H44"/>
    <mergeCell ref="B50:H50"/>
    <mergeCell ref="B76:H76"/>
    <mergeCell ref="B80:H80"/>
    <mergeCell ref="B66:H66"/>
    <mergeCell ref="B69:H69"/>
    <mergeCell ref="B47:H47"/>
    <mergeCell ref="B40:H40"/>
    <mergeCell ref="B2:T2"/>
    <mergeCell ref="B20:H20"/>
    <mergeCell ref="B33:H33"/>
    <mergeCell ref="B29:H29"/>
    <mergeCell ref="N3:T3"/>
    <mergeCell ref="B3:M3"/>
    <mergeCell ref="B24:H24"/>
  </mergeCells>
  <phoneticPr fontId="6" type="noConversion"/>
  <pageMargins left="0.19685039370078741" right="0.11811023622047245" top="0.98425196850393704" bottom="0.98425196850393704" header="0.51181102362204722" footer="0.51181102362204722"/>
  <pageSetup scale="90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V578"/>
  <sheetViews>
    <sheetView topLeftCell="A31" zoomScale="85" zoomScaleNormal="85" workbookViewId="0">
      <pane xSplit="3" topLeftCell="D1" activePane="topRight" state="frozen"/>
      <selection activeCell="J19" sqref="J19"/>
      <selection pane="topRight" activeCell="G59" sqref="G59"/>
    </sheetView>
  </sheetViews>
  <sheetFormatPr defaultColWidth="9.140625" defaultRowHeight="18" customHeight="1"/>
  <cols>
    <col min="1" max="1" width="3.7109375" style="9" customWidth="1"/>
    <col min="2" max="2" width="18.42578125" style="24" customWidth="1"/>
    <col min="3" max="3" width="13.85546875" style="25" bestFit="1" customWidth="1"/>
    <col min="4" max="4" width="13.85546875" style="51" bestFit="1" customWidth="1"/>
    <col min="5" max="5" width="13.85546875" style="9" bestFit="1" customWidth="1"/>
    <col min="6" max="6" width="15.5703125" style="51" customWidth="1"/>
    <col min="7" max="7" width="19.140625" style="25" customWidth="1"/>
    <col min="8" max="8" width="17.28515625" style="51" bestFit="1" customWidth="1"/>
    <col min="9" max="9" width="12.28515625" style="9" customWidth="1"/>
    <col min="10" max="10" width="19.140625" style="64" bestFit="1" customWidth="1"/>
    <col min="11" max="11" width="13.5703125" style="25" customWidth="1"/>
    <col min="12" max="12" width="10.5703125" style="9" bestFit="1" customWidth="1"/>
    <col min="13" max="13" width="14.85546875" style="25" bestFit="1" customWidth="1"/>
    <col min="14" max="14" width="15.140625" style="19" bestFit="1" customWidth="1"/>
    <col min="15" max="15" width="15.140625" style="19" customWidth="1"/>
    <col min="16" max="16" width="13.28515625" style="26" bestFit="1" customWidth="1"/>
    <col min="17" max="17" width="13.28515625" style="26" hidden="1" customWidth="1"/>
    <col min="18" max="18" width="54.42578125" style="26" bestFit="1" customWidth="1"/>
    <col min="19" max="16384" width="9.140625" style="9"/>
  </cols>
  <sheetData>
    <row r="1" spans="2:20" ht="18" customHeight="1">
      <c r="B1" s="9"/>
    </row>
    <row r="2" spans="2:20" s="1" customFormat="1" ht="18" customHeight="1">
      <c r="B2" s="198" t="s">
        <v>48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2:20" s="1" customFormat="1" ht="18" customHeight="1">
      <c r="B3" s="61"/>
      <c r="C3" s="62"/>
      <c r="D3" s="62"/>
      <c r="E3" s="62"/>
      <c r="F3" s="72"/>
      <c r="G3" s="62"/>
      <c r="H3" s="72"/>
      <c r="I3" s="8"/>
      <c r="J3" s="8"/>
      <c r="K3" s="62"/>
      <c r="L3" s="8"/>
      <c r="M3" s="62"/>
      <c r="N3" s="23"/>
      <c r="O3" s="63">
        <f ca="1">+NOW()</f>
        <v>46270.528471527781</v>
      </c>
      <c r="P3" s="63">
        <f ca="1">+NOW()</f>
        <v>46270.528471527781</v>
      </c>
      <c r="Q3" s="63"/>
      <c r="R3" s="63"/>
    </row>
    <row r="4" spans="2:20" s="3" customFormat="1" ht="26.25" customHeight="1">
      <c r="B4" s="60" t="s">
        <v>40</v>
      </c>
      <c r="C4" s="60" t="s">
        <v>44</v>
      </c>
      <c r="D4" s="60" t="s">
        <v>16</v>
      </c>
      <c r="E4" s="59" t="s">
        <v>17</v>
      </c>
      <c r="F4" s="57" t="s">
        <v>16</v>
      </c>
      <c r="G4" s="59" t="s">
        <v>18</v>
      </c>
      <c r="H4" s="57" t="s">
        <v>19</v>
      </c>
      <c r="I4" s="32" t="s">
        <v>13</v>
      </c>
      <c r="J4" s="32" t="s">
        <v>14</v>
      </c>
      <c r="K4" s="59" t="s">
        <v>20</v>
      </c>
      <c r="L4" s="59" t="s">
        <v>21</v>
      </c>
      <c r="M4" s="59" t="s">
        <v>1</v>
      </c>
      <c r="N4" s="59" t="s">
        <v>46</v>
      </c>
      <c r="O4" s="59"/>
      <c r="P4" s="59" t="s">
        <v>5</v>
      </c>
      <c r="Q4" s="59"/>
      <c r="R4" s="59" t="s">
        <v>12</v>
      </c>
    </row>
    <row r="5" spans="2:20" s="3" customFormat="1" ht="18" customHeight="1">
      <c r="B5" s="170" t="s">
        <v>57</v>
      </c>
      <c r="C5" s="153">
        <v>305</v>
      </c>
      <c r="D5" s="70">
        <v>46203</v>
      </c>
      <c r="E5" s="176">
        <v>12850</v>
      </c>
      <c r="F5" s="70">
        <v>46203</v>
      </c>
      <c r="G5" s="58" t="s">
        <v>87</v>
      </c>
      <c r="H5" s="70">
        <v>46209</v>
      </c>
      <c r="I5" s="28">
        <v>1</v>
      </c>
      <c r="J5" s="66" t="s">
        <v>117</v>
      </c>
      <c r="K5" s="5">
        <v>3400</v>
      </c>
      <c r="L5" s="29">
        <v>10.029999999999999</v>
      </c>
      <c r="M5" s="11">
        <f t="shared" ref="M5:M18" si="0">+K5*L5</f>
        <v>34102</v>
      </c>
      <c r="N5" s="23">
        <v>250101209</v>
      </c>
      <c r="O5" s="30">
        <f t="shared" ref="O5:O15" ca="1" si="1">$O$3-D5</f>
        <v>67.528471527781221</v>
      </c>
      <c r="P5" s="30">
        <f t="shared" ref="P5:P15" ca="1" si="2">$P$3-H5</f>
        <v>61.528471527781221</v>
      </c>
      <c r="Q5" s="30"/>
      <c r="R5" s="115"/>
      <c r="T5" s="18"/>
    </row>
    <row r="6" spans="2:20" s="3" customFormat="1" ht="18" customHeight="1">
      <c r="B6" s="170" t="s">
        <v>57</v>
      </c>
      <c r="C6" s="153">
        <v>321</v>
      </c>
      <c r="D6" s="70">
        <v>46206</v>
      </c>
      <c r="E6" s="176">
        <v>12875</v>
      </c>
      <c r="F6" s="70">
        <v>46206</v>
      </c>
      <c r="G6" s="58" t="s">
        <v>87</v>
      </c>
      <c r="H6" s="70">
        <v>46212</v>
      </c>
      <c r="I6" s="28">
        <v>2</v>
      </c>
      <c r="J6" s="66" t="s">
        <v>111</v>
      </c>
      <c r="K6" s="5">
        <f>2*6000</f>
        <v>12000</v>
      </c>
      <c r="L6" s="29">
        <v>10.029999999999999</v>
      </c>
      <c r="M6" s="11">
        <f t="shared" si="0"/>
        <v>120359.99999999999</v>
      </c>
      <c r="N6" s="23">
        <v>250101209</v>
      </c>
      <c r="O6" s="30">
        <f t="shared" ca="1" si="1"/>
        <v>64.528471527781221</v>
      </c>
      <c r="P6" s="30">
        <f t="shared" ca="1" si="2"/>
        <v>58.528471527781221</v>
      </c>
      <c r="Q6" s="30"/>
      <c r="R6" s="115"/>
      <c r="T6" s="18"/>
    </row>
    <row r="7" spans="2:20" s="3" customFormat="1" ht="18" customHeight="1">
      <c r="B7" s="170" t="s">
        <v>57</v>
      </c>
      <c r="C7" s="153">
        <v>336</v>
      </c>
      <c r="D7" s="70">
        <v>46209</v>
      </c>
      <c r="E7" s="176">
        <v>12901</v>
      </c>
      <c r="F7" s="70">
        <v>46209</v>
      </c>
      <c r="G7" s="58" t="s">
        <v>87</v>
      </c>
      <c r="H7" s="70">
        <v>46212</v>
      </c>
      <c r="I7" s="28">
        <v>2</v>
      </c>
      <c r="J7" s="66" t="s">
        <v>111</v>
      </c>
      <c r="K7" s="5">
        <f>2*6000</f>
        <v>12000</v>
      </c>
      <c r="L7" s="29">
        <v>10.029999999999999</v>
      </c>
      <c r="M7" s="11">
        <f t="shared" si="0"/>
        <v>120359.99999999999</v>
      </c>
      <c r="N7" s="23">
        <v>250101209</v>
      </c>
      <c r="O7" s="30">
        <f t="shared" ca="1" si="1"/>
        <v>61.528471527781221</v>
      </c>
      <c r="P7" s="30">
        <f t="shared" ca="1" si="2"/>
        <v>58.528471527781221</v>
      </c>
      <c r="Q7" s="30"/>
      <c r="R7" s="115"/>
      <c r="T7" s="18"/>
    </row>
    <row r="8" spans="2:20" s="3" customFormat="1" ht="18" customHeight="1">
      <c r="B8" s="170" t="s">
        <v>57</v>
      </c>
      <c r="C8" s="153">
        <v>350</v>
      </c>
      <c r="D8" s="70">
        <v>46212</v>
      </c>
      <c r="E8" s="176">
        <v>12915</v>
      </c>
      <c r="F8" s="70">
        <v>46212</v>
      </c>
      <c r="G8" s="58" t="s">
        <v>87</v>
      </c>
      <c r="H8" s="70">
        <v>46217</v>
      </c>
      <c r="I8" s="28">
        <v>1</v>
      </c>
      <c r="J8" s="66" t="s">
        <v>97</v>
      </c>
      <c r="K8" s="5">
        <f>1*6000</f>
        <v>6000</v>
      </c>
      <c r="L8" s="29">
        <v>10.029999999999999</v>
      </c>
      <c r="M8" s="11">
        <f t="shared" si="0"/>
        <v>60179.999999999993</v>
      </c>
      <c r="N8" s="23">
        <v>250101209</v>
      </c>
      <c r="O8" s="30">
        <f t="shared" ca="1" si="1"/>
        <v>58.528471527781221</v>
      </c>
      <c r="P8" s="30">
        <f t="shared" ca="1" si="2"/>
        <v>53.528471527781221</v>
      </c>
      <c r="Q8" s="30"/>
      <c r="R8" s="115"/>
      <c r="T8" s="18"/>
    </row>
    <row r="9" spans="2:20" s="3" customFormat="1" ht="18" customHeight="1">
      <c r="B9" s="170" t="s">
        <v>57</v>
      </c>
      <c r="C9" s="153">
        <v>360</v>
      </c>
      <c r="D9" s="70">
        <v>46212</v>
      </c>
      <c r="E9" s="176">
        <v>12915</v>
      </c>
      <c r="F9" s="70">
        <v>46212</v>
      </c>
      <c r="G9" s="58" t="s">
        <v>87</v>
      </c>
      <c r="H9" s="70">
        <v>46217</v>
      </c>
      <c r="I9" s="28">
        <v>1</v>
      </c>
      <c r="J9" s="66" t="s">
        <v>97</v>
      </c>
      <c r="K9" s="5">
        <f>1*6000</f>
        <v>6000</v>
      </c>
      <c r="L9" s="29">
        <v>10.029999999999999</v>
      </c>
      <c r="M9" s="11">
        <f t="shared" si="0"/>
        <v>60179.999999999993</v>
      </c>
      <c r="N9" s="23">
        <v>250101209</v>
      </c>
      <c r="O9" s="30">
        <f t="shared" ca="1" si="1"/>
        <v>58.528471527781221</v>
      </c>
      <c r="P9" s="30">
        <f t="shared" ca="1" si="2"/>
        <v>53.528471527781221</v>
      </c>
      <c r="Q9" s="30"/>
      <c r="R9" s="115"/>
      <c r="T9" s="18"/>
    </row>
    <row r="10" spans="2:20" s="3" customFormat="1" ht="18" customHeight="1">
      <c r="B10" s="170" t="s">
        <v>57</v>
      </c>
      <c r="C10" s="153">
        <v>411</v>
      </c>
      <c r="D10" s="70">
        <v>46225</v>
      </c>
      <c r="E10" s="176">
        <v>12986</v>
      </c>
      <c r="F10" s="70">
        <v>46225</v>
      </c>
      <c r="G10" s="58" t="s">
        <v>87</v>
      </c>
      <c r="H10" s="70">
        <v>46230</v>
      </c>
      <c r="I10" s="181">
        <v>1</v>
      </c>
      <c r="J10" s="66" t="s">
        <v>97</v>
      </c>
      <c r="K10" s="5">
        <f>1*6000</f>
        <v>6000</v>
      </c>
      <c r="L10" s="29">
        <v>10.029999999999999</v>
      </c>
      <c r="M10" s="11">
        <f t="shared" si="0"/>
        <v>60179.999999999993</v>
      </c>
      <c r="N10" s="23">
        <v>250101209</v>
      </c>
      <c r="O10" s="30">
        <f t="shared" ca="1" si="1"/>
        <v>45.528471527781221</v>
      </c>
      <c r="P10" s="30">
        <f t="shared" ca="1" si="2"/>
        <v>40.528471527781221</v>
      </c>
      <c r="Q10" s="30"/>
      <c r="R10" s="115"/>
      <c r="T10" s="18"/>
    </row>
    <row r="11" spans="2:20" s="3" customFormat="1" ht="18" customHeight="1">
      <c r="B11" s="170" t="s">
        <v>57</v>
      </c>
      <c r="C11" s="153">
        <v>420</v>
      </c>
      <c r="D11" s="70">
        <v>46228</v>
      </c>
      <c r="E11" s="176">
        <v>12996</v>
      </c>
      <c r="F11" s="70">
        <v>46228</v>
      </c>
      <c r="G11" s="58" t="s">
        <v>87</v>
      </c>
      <c r="H11" s="70">
        <v>46231</v>
      </c>
      <c r="I11" s="181">
        <v>1</v>
      </c>
      <c r="J11" s="66" t="s">
        <v>97</v>
      </c>
      <c r="K11" s="5">
        <f>1*6000</f>
        <v>6000</v>
      </c>
      <c r="L11" s="29">
        <v>10.029999999999999</v>
      </c>
      <c r="M11" s="11">
        <f t="shared" si="0"/>
        <v>60179.999999999993</v>
      </c>
      <c r="N11" s="23">
        <v>250101209</v>
      </c>
      <c r="O11" s="30">
        <f t="shared" ca="1" si="1"/>
        <v>42.528471527781221</v>
      </c>
      <c r="P11" s="30">
        <f t="shared" ca="1" si="2"/>
        <v>39.528471527781221</v>
      </c>
      <c r="Q11" s="30"/>
      <c r="R11" s="115"/>
      <c r="T11" s="18"/>
    </row>
    <row r="12" spans="2:20" s="3" customFormat="1" ht="18" customHeight="1">
      <c r="B12" s="170" t="s">
        <v>57</v>
      </c>
      <c r="C12" s="153">
        <v>460</v>
      </c>
      <c r="D12" s="70">
        <v>46238</v>
      </c>
      <c r="E12" s="176">
        <v>13053</v>
      </c>
      <c r="F12" s="70">
        <v>46238</v>
      </c>
      <c r="G12" s="58" t="s">
        <v>87</v>
      </c>
      <c r="H12" s="70">
        <v>46242</v>
      </c>
      <c r="I12" s="181">
        <v>1</v>
      </c>
      <c r="J12" s="66" t="s">
        <v>97</v>
      </c>
      <c r="K12" s="5">
        <v>6000</v>
      </c>
      <c r="L12" s="29">
        <v>10.029999999999999</v>
      </c>
      <c r="M12" s="11">
        <f t="shared" si="0"/>
        <v>60179.999999999993</v>
      </c>
      <c r="N12" s="23">
        <v>250101209</v>
      </c>
      <c r="O12" s="30">
        <f t="shared" ca="1" si="1"/>
        <v>32.528471527781221</v>
      </c>
      <c r="P12" s="30">
        <f t="shared" ca="1" si="2"/>
        <v>28.528471527781221</v>
      </c>
      <c r="Q12" s="30"/>
      <c r="R12" s="115"/>
      <c r="T12" s="18"/>
    </row>
    <row r="13" spans="2:20" s="3" customFormat="1" ht="18" customHeight="1">
      <c r="B13" s="170" t="s">
        <v>57</v>
      </c>
      <c r="C13" s="153">
        <v>474</v>
      </c>
      <c r="D13" s="70">
        <v>46242</v>
      </c>
      <c r="E13" s="176">
        <v>13068</v>
      </c>
      <c r="F13" s="70">
        <v>46242</v>
      </c>
      <c r="G13" s="58" t="s">
        <v>87</v>
      </c>
      <c r="H13" s="70">
        <v>46247</v>
      </c>
      <c r="I13" s="181">
        <v>3</v>
      </c>
      <c r="J13" s="66" t="s">
        <v>116</v>
      </c>
      <c r="K13" s="5">
        <f>3*6000</f>
        <v>18000</v>
      </c>
      <c r="L13" s="29">
        <v>10.029999999999999</v>
      </c>
      <c r="M13" s="11">
        <f t="shared" si="0"/>
        <v>180540</v>
      </c>
      <c r="N13" s="23">
        <v>260100625</v>
      </c>
      <c r="O13" s="30">
        <f t="shared" ca="1" si="1"/>
        <v>28.528471527781221</v>
      </c>
      <c r="P13" s="30">
        <f t="shared" ca="1" si="2"/>
        <v>23.528471527781221</v>
      </c>
      <c r="Q13" s="115"/>
      <c r="R13" s="115"/>
    </row>
    <row r="14" spans="2:20" s="3" customFormat="1" ht="18" customHeight="1">
      <c r="B14" s="170" t="s">
        <v>57</v>
      </c>
      <c r="C14" s="153">
        <v>487</v>
      </c>
      <c r="D14" s="70">
        <v>46243</v>
      </c>
      <c r="E14" s="176">
        <v>13068</v>
      </c>
      <c r="F14" s="70">
        <v>46243</v>
      </c>
      <c r="G14" s="58" t="s">
        <v>87</v>
      </c>
      <c r="H14" s="70">
        <v>46247</v>
      </c>
      <c r="I14" s="181">
        <v>1</v>
      </c>
      <c r="J14" s="66" t="s">
        <v>97</v>
      </c>
      <c r="K14" s="5">
        <f>1*6000</f>
        <v>6000</v>
      </c>
      <c r="L14" s="29">
        <v>10.029999999999999</v>
      </c>
      <c r="M14" s="11">
        <f t="shared" si="0"/>
        <v>60179.999999999993</v>
      </c>
      <c r="N14" s="23">
        <v>260100625</v>
      </c>
      <c r="O14" s="30">
        <f t="shared" ca="1" si="1"/>
        <v>27.528471527781221</v>
      </c>
      <c r="P14" s="30">
        <f t="shared" ca="1" si="2"/>
        <v>23.528471527781221</v>
      </c>
      <c r="Q14" s="115"/>
      <c r="R14" s="115"/>
    </row>
    <row r="15" spans="2:20" s="3" customFormat="1" ht="18" customHeight="1">
      <c r="B15" s="170" t="s">
        <v>57</v>
      </c>
      <c r="C15" s="153">
        <v>491</v>
      </c>
      <c r="D15" s="70">
        <v>46246</v>
      </c>
      <c r="E15" s="176">
        <v>13084</v>
      </c>
      <c r="F15" s="70">
        <v>46246</v>
      </c>
      <c r="G15" s="58" t="s">
        <v>87</v>
      </c>
      <c r="H15" s="70">
        <v>46252</v>
      </c>
      <c r="I15" s="181">
        <v>2</v>
      </c>
      <c r="J15" s="66" t="s">
        <v>111</v>
      </c>
      <c r="K15" s="5">
        <f>2*6000</f>
        <v>12000</v>
      </c>
      <c r="L15" s="29">
        <v>10.029999999999999</v>
      </c>
      <c r="M15" s="11">
        <f t="shared" si="0"/>
        <v>120359.99999999999</v>
      </c>
      <c r="N15" s="23">
        <v>260100625</v>
      </c>
      <c r="O15" s="30">
        <f t="shared" ca="1" si="1"/>
        <v>24.528471527781221</v>
      </c>
      <c r="P15" s="30">
        <f t="shared" ca="1" si="2"/>
        <v>18.528471527781221</v>
      </c>
      <c r="Q15" s="115"/>
      <c r="R15" s="45"/>
    </row>
    <row r="16" spans="2:20" s="3" customFormat="1" ht="18" customHeight="1">
      <c r="B16" s="170" t="s">
        <v>57</v>
      </c>
      <c r="C16" s="153">
        <v>503</v>
      </c>
      <c r="D16" s="70">
        <v>46251</v>
      </c>
      <c r="E16" s="176">
        <v>13105</v>
      </c>
      <c r="F16" s="70">
        <v>46251</v>
      </c>
      <c r="G16" s="58" t="s">
        <v>87</v>
      </c>
      <c r="H16" s="70">
        <v>46255</v>
      </c>
      <c r="I16" s="181">
        <v>1</v>
      </c>
      <c r="J16" s="66" t="s">
        <v>127</v>
      </c>
      <c r="K16" s="5">
        <f>1*5500</f>
        <v>5500</v>
      </c>
      <c r="L16" s="29">
        <v>10.029999999999999</v>
      </c>
      <c r="M16" s="11">
        <f t="shared" si="0"/>
        <v>55165</v>
      </c>
      <c r="N16" s="23">
        <v>260100625</v>
      </c>
      <c r="O16" s="30">
        <v>4.7676325231514056</v>
      </c>
      <c r="P16" s="30">
        <f ca="1">$O$3-H16</f>
        <v>15.528471527781221</v>
      </c>
      <c r="Q16" s="115"/>
      <c r="R16" s="45"/>
    </row>
    <row r="17" spans="1:22" s="3" customFormat="1" ht="18" customHeight="1">
      <c r="B17" s="170" t="s">
        <v>57</v>
      </c>
      <c r="C17" s="153">
        <v>517</v>
      </c>
      <c r="D17" s="70">
        <v>46255</v>
      </c>
      <c r="E17" s="176">
        <v>13132</v>
      </c>
      <c r="F17" s="70">
        <v>46255</v>
      </c>
      <c r="G17" s="58" t="s">
        <v>87</v>
      </c>
      <c r="H17" s="70">
        <v>46260</v>
      </c>
      <c r="I17" s="181">
        <v>3</v>
      </c>
      <c r="J17" s="66" t="s">
        <v>116</v>
      </c>
      <c r="K17" s="5">
        <f>3*6000</f>
        <v>18000</v>
      </c>
      <c r="L17" s="29">
        <v>10.029999999999999</v>
      </c>
      <c r="M17" s="11">
        <f t="shared" si="0"/>
        <v>180540</v>
      </c>
      <c r="N17" s="23">
        <v>260100625</v>
      </c>
      <c r="O17" s="30">
        <v>4.7676325231514056</v>
      </c>
      <c r="P17" s="30">
        <f ca="1">$O$3-H17</f>
        <v>10.528471527781221</v>
      </c>
      <c r="Q17" s="115"/>
      <c r="R17" s="45"/>
    </row>
    <row r="18" spans="1:22" s="3" customFormat="1" ht="18" customHeight="1">
      <c r="B18" s="170" t="s">
        <v>57</v>
      </c>
      <c r="C18" s="153">
        <v>527</v>
      </c>
      <c r="D18" s="70">
        <v>46258</v>
      </c>
      <c r="E18" s="183" t="s">
        <v>91</v>
      </c>
      <c r="F18" s="70">
        <v>46258</v>
      </c>
      <c r="G18" s="58" t="s">
        <v>87</v>
      </c>
      <c r="H18" s="70">
        <v>46262</v>
      </c>
      <c r="I18" s="181">
        <v>1</v>
      </c>
      <c r="J18" s="66" t="s">
        <v>97</v>
      </c>
      <c r="K18" s="5">
        <f>1*6000</f>
        <v>6000</v>
      </c>
      <c r="L18" s="29">
        <v>10.029999999999999</v>
      </c>
      <c r="M18" s="11">
        <f t="shared" si="0"/>
        <v>60179.999999999993</v>
      </c>
      <c r="N18" s="23">
        <v>260100625</v>
      </c>
      <c r="O18" s="30">
        <v>4.7676325231514056</v>
      </c>
      <c r="P18" s="30">
        <f t="shared" ref="P18" ca="1" si="3">$O$3-H18</f>
        <v>8.5284715277812211</v>
      </c>
      <c r="Q18" s="115"/>
      <c r="R18" s="45"/>
    </row>
    <row r="19" spans="1:22" s="3" customFormat="1" ht="18" customHeight="1">
      <c r="B19" s="7"/>
      <c r="C19" s="5"/>
      <c r="D19" s="5"/>
      <c r="E19" s="23"/>
      <c r="F19" s="27"/>
      <c r="G19" s="5"/>
      <c r="H19" s="27"/>
      <c r="I19" s="28"/>
      <c r="J19" s="66"/>
      <c r="K19" s="5"/>
      <c r="L19" s="23"/>
      <c r="M19" s="11"/>
      <c r="N19" s="23"/>
      <c r="O19" s="23"/>
      <c r="P19" s="30"/>
      <c r="Q19" s="30"/>
      <c r="R19" s="33"/>
      <c r="T19" s="18"/>
    </row>
    <row r="20" spans="1:22" s="18" customFormat="1" ht="18" customHeight="1">
      <c r="B20" s="197" t="s">
        <v>3</v>
      </c>
      <c r="C20" s="197"/>
      <c r="D20" s="197"/>
      <c r="E20" s="197"/>
      <c r="F20" s="197"/>
      <c r="G20" s="197"/>
      <c r="H20" s="197"/>
      <c r="I20" s="162">
        <f>SUM(I5:I19)</f>
        <v>21</v>
      </c>
      <c r="J20" s="67"/>
      <c r="K20" s="162">
        <f>SUM(K5:K19)</f>
        <v>122900</v>
      </c>
      <c r="L20" s="162"/>
      <c r="M20" s="34">
        <f>SUM(M5:M19)</f>
        <v>1232687</v>
      </c>
      <c r="N20" s="35"/>
      <c r="O20" s="35"/>
      <c r="P20" s="36"/>
      <c r="Q20" s="36"/>
      <c r="R20" s="37"/>
      <c r="U20" s="3"/>
    </row>
    <row r="21" spans="1:22" s="3" customFormat="1" ht="18" customHeight="1">
      <c r="B21" s="170" t="s">
        <v>122</v>
      </c>
      <c r="C21" s="153">
        <v>554</v>
      </c>
      <c r="D21" s="70">
        <v>46265</v>
      </c>
      <c r="E21" s="183">
        <v>13180</v>
      </c>
      <c r="F21" s="70">
        <v>46265</v>
      </c>
      <c r="G21" s="58" t="s">
        <v>87</v>
      </c>
      <c r="H21" s="70">
        <v>46270</v>
      </c>
      <c r="I21" s="181">
        <v>1</v>
      </c>
      <c r="J21" s="66" t="s">
        <v>97</v>
      </c>
      <c r="K21" s="5">
        <f>1*6000</f>
        <v>6000</v>
      </c>
      <c r="L21" s="29">
        <v>10.23</v>
      </c>
      <c r="M21" s="11">
        <f t="shared" ref="M21:M22" si="4">+K21*L21</f>
        <v>61380</v>
      </c>
      <c r="N21" s="23">
        <v>260100625</v>
      </c>
      <c r="O21" s="30">
        <f t="shared" ref="O21:O22" ca="1" si="5">$O$3-D21</f>
        <v>5.5284715277812211</v>
      </c>
      <c r="P21" s="30">
        <f t="shared" ref="P21:P22" ca="1" si="6">$O$3-H21</f>
        <v>0.52847152778122108</v>
      </c>
      <c r="Q21" s="115"/>
      <c r="S21" s="18"/>
    </row>
    <row r="22" spans="1:22" s="3" customFormat="1" ht="18" customHeight="1">
      <c r="B22" s="170" t="s">
        <v>122</v>
      </c>
      <c r="C22" s="153">
        <v>546</v>
      </c>
      <c r="D22" s="70">
        <v>46265</v>
      </c>
      <c r="E22" s="183">
        <v>13180</v>
      </c>
      <c r="F22" s="70">
        <v>46265</v>
      </c>
      <c r="G22" s="58" t="s">
        <v>87</v>
      </c>
      <c r="H22" s="70">
        <v>46270</v>
      </c>
      <c r="I22" s="181">
        <v>1</v>
      </c>
      <c r="J22" s="66" t="s">
        <v>97</v>
      </c>
      <c r="K22" s="5">
        <f>1*6000</f>
        <v>6000</v>
      </c>
      <c r="L22" s="29">
        <v>10.23</v>
      </c>
      <c r="M22" s="11">
        <f t="shared" si="4"/>
        <v>61380</v>
      </c>
      <c r="N22" s="23">
        <v>260100625</v>
      </c>
      <c r="O22" s="30">
        <f t="shared" ca="1" si="5"/>
        <v>5.5284715277812211</v>
      </c>
      <c r="P22" s="30">
        <f t="shared" ca="1" si="6"/>
        <v>0.52847152778122108</v>
      </c>
      <c r="Q22" s="115"/>
      <c r="S22" s="18"/>
    </row>
    <row r="23" spans="1:22" s="3" customFormat="1" ht="18" customHeight="1">
      <c r="B23" s="7"/>
      <c r="C23" s="5"/>
      <c r="D23" s="5"/>
      <c r="E23" s="23"/>
      <c r="F23" s="27"/>
      <c r="G23" s="5"/>
      <c r="H23" s="27"/>
      <c r="I23" s="28"/>
      <c r="J23" s="66"/>
      <c r="K23" s="5"/>
      <c r="L23" s="23"/>
      <c r="M23" s="11"/>
      <c r="N23" s="23"/>
      <c r="O23" s="23"/>
      <c r="P23" s="30"/>
      <c r="Q23" s="30"/>
      <c r="R23" s="33"/>
      <c r="T23" s="18"/>
    </row>
    <row r="24" spans="1:22" s="18" customFormat="1" ht="18" customHeight="1">
      <c r="B24" s="197" t="s">
        <v>3</v>
      </c>
      <c r="C24" s="197"/>
      <c r="D24" s="197"/>
      <c r="E24" s="197"/>
      <c r="F24" s="197"/>
      <c r="G24" s="197"/>
      <c r="H24" s="197"/>
      <c r="I24" s="180">
        <f>SUM(I21:I23)</f>
        <v>2</v>
      </c>
      <c r="J24" s="67"/>
      <c r="K24" s="180">
        <f>SUM(K21:K23)</f>
        <v>12000</v>
      </c>
      <c r="L24" s="180"/>
      <c r="M24" s="34">
        <f>SUM(M21:M23)</f>
        <v>122760</v>
      </c>
      <c r="N24" s="35"/>
      <c r="O24" s="35"/>
      <c r="P24" s="36"/>
      <c r="Q24" s="36"/>
      <c r="R24" s="37"/>
      <c r="U24" s="3"/>
    </row>
    <row r="25" spans="1:22" s="3" customFormat="1" ht="17.25" customHeight="1">
      <c r="B25" s="170" t="s">
        <v>49</v>
      </c>
      <c r="C25" s="153">
        <v>488</v>
      </c>
      <c r="D25" s="70">
        <v>46243</v>
      </c>
      <c r="E25" s="176">
        <v>13068</v>
      </c>
      <c r="F25" s="70">
        <v>46243</v>
      </c>
      <c r="G25" s="58" t="s">
        <v>87</v>
      </c>
      <c r="H25" s="70">
        <v>46247</v>
      </c>
      <c r="I25" s="181">
        <v>5</v>
      </c>
      <c r="J25" s="66" t="s">
        <v>125</v>
      </c>
      <c r="K25" s="5">
        <f>5*1000</f>
        <v>5000</v>
      </c>
      <c r="L25" s="29">
        <v>7.27</v>
      </c>
      <c r="M25" s="11">
        <f t="shared" ref="M25:M27" si="7">+K25*L25</f>
        <v>36350</v>
      </c>
      <c r="N25" s="23">
        <v>260100623</v>
      </c>
      <c r="O25" s="30">
        <f t="shared" ref="O25:O27" ca="1" si="8">$O$3-D25</f>
        <v>27.528471527781221</v>
      </c>
      <c r="P25" s="30">
        <f t="shared" ref="P25:P26" ca="1" si="9">$P$3-H25</f>
        <v>23.528471527781221</v>
      </c>
      <c r="Q25" s="115"/>
      <c r="R25" s="115"/>
      <c r="S25" s="18"/>
    </row>
    <row r="26" spans="1:22" s="3" customFormat="1" ht="17.25" customHeight="1">
      <c r="B26" s="170" t="s">
        <v>49</v>
      </c>
      <c r="C26" s="153">
        <v>492</v>
      </c>
      <c r="D26" s="70">
        <v>46246</v>
      </c>
      <c r="E26" s="176">
        <v>13084</v>
      </c>
      <c r="F26" s="70">
        <v>46246</v>
      </c>
      <c r="G26" s="58" t="s">
        <v>87</v>
      </c>
      <c r="H26" s="70">
        <v>46252</v>
      </c>
      <c r="I26" s="181">
        <v>1</v>
      </c>
      <c r="J26" s="66" t="s">
        <v>118</v>
      </c>
      <c r="K26" s="5">
        <f>1*12000</f>
        <v>12000</v>
      </c>
      <c r="L26" s="29">
        <v>7.27</v>
      </c>
      <c r="M26" s="11">
        <f t="shared" si="7"/>
        <v>87240</v>
      </c>
      <c r="N26" s="23">
        <v>260100623</v>
      </c>
      <c r="O26" s="30">
        <f t="shared" ca="1" si="8"/>
        <v>24.528471527781221</v>
      </c>
      <c r="P26" s="30">
        <f t="shared" ca="1" si="9"/>
        <v>18.528471527781221</v>
      </c>
      <c r="Q26" s="115"/>
      <c r="R26" s="23"/>
      <c r="S26" s="18"/>
    </row>
    <row r="27" spans="1:22" s="3" customFormat="1" ht="17.25" customHeight="1">
      <c r="B27" s="170" t="s">
        <v>49</v>
      </c>
      <c r="C27" s="153">
        <v>547</v>
      </c>
      <c r="D27" s="70">
        <v>46265</v>
      </c>
      <c r="E27" s="183">
        <v>13180</v>
      </c>
      <c r="F27" s="70">
        <v>46265</v>
      </c>
      <c r="G27" s="58" t="s">
        <v>87</v>
      </c>
      <c r="H27" s="70">
        <v>46270</v>
      </c>
      <c r="I27" s="181">
        <v>1</v>
      </c>
      <c r="J27" s="66" t="s">
        <v>118</v>
      </c>
      <c r="K27" s="5">
        <f>1*12000</f>
        <v>12000</v>
      </c>
      <c r="L27" s="29">
        <v>7.27</v>
      </c>
      <c r="M27" s="11">
        <f t="shared" si="7"/>
        <v>87240</v>
      </c>
      <c r="N27" s="23">
        <v>260100623</v>
      </c>
      <c r="O27" s="30">
        <f t="shared" ca="1" si="8"/>
        <v>5.5284715277812211</v>
      </c>
      <c r="P27" s="30">
        <f t="shared" ref="P27" ca="1" si="10">$O$3-H27</f>
        <v>0.52847152778122108</v>
      </c>
      <c r="Q27" s="115"/>
      <c r="S27" s="18"/>
    </row>
    <row r="28" spans="1:22" s="3" customFormat="1" ht="16.5" customHeight="1">
      <c r="A28" s="31"/>
      <c r="B28" s="7"/>
      <c r="C28" s="5"/>
      <c r="D28" s="5"/>
      <c r="E28" s="23"/>
      <c r="F28" s="27"/>
      <c r="G28" s="5"/>
      <c r="H28" s="27"/>
      <c r="I28" s="28"/>
      <c r="J28" s="66"/>
      <c r="K28" s="5"/>
      <c r="L28" s="23"/>
      <c r="M28" s="11"/>
      <c r="N28" s="23"/>
      <c r="O28" s="23"/>
      <c r="P28" s="30"/>
      <c r="Q28" s="30"/>
      <c r="R28" s="33"/>
      <c r="S28" s="18"/>
      <c r="T28" s="18"/>
      <c r="V28" s="18"/>
    </row>
    <row r="29" spans="1:22" s="18" customFormat="1" ht="18" customHeight="1">
      <c r="B29" s="197" t="s">
        <v>3</v>
      </c>
      <c r="C29" s="197"/>
      <c r="D29" s="197"/>
      <c r="E29" s="197"/>
      <c r="F29" s="197"/>
      <c r="G29" s="197"/>
      <c r="H29" s="197"/>
      <c r="I29" s="162">
        <f>SUM(I25:I28)</f>
        <v>7</v>
      </c>
      <c r="J29" s="67"/>
      <c r="K29" s="162">
        <f>SUM(K25:K28)</f>
        <v>29000</v>
      </c>
      <c r="L29" s="162"/>
      <c r="M29" s="34">
        <f>SUM(M25:M28)</f>
        <v>210830</v>
      </c>
      <c r="N29" s="35"/>
      <c r="O29" s="35"/>
      <c r="P29" s="36"/>
      <c r="Q29" s="36"/>
      <c r="R29" s="37"/>
      <c r="U29" s="3"/>
    </row>
    <row r="30" spans="1:22" s="3" customFormat="1" ht="18" customHeight="1">
      <c r="B30" s="170" t="s">
        <v>50</v>
      </c>
      <c r="C30" s="153">
        <v>557</v>
      </c>
      <c r="D30" s="70">
        <v>46265</v>
      </c>
      <c r="E30" s="183">
        <v>13180</v>
      </c>
      <c r="F30" s="70">
        <v>46265</v>
      </c>
      <c r="G30" s="58" t="s">
        <v>87</v>
      </c>
      <c r="H30" s="70">
        <v>46270</v>
      </c>
      <c r="I30" s="181">
        <v>1</v>
      </c>
      <c r="J30" s="66" t="s">
        <v>133</v>
      </c>
      <c r="K30" s="5">
        <f>1*5000</f>
        <v>5000</v>
      </c>
      <c r="L30" s="29">
        <v>10.9</v>
      </c>
      <c r="M30" s="11">
        <f t="shared" ref="M30:M31" si="11">+K30*L30</f>
        <v>54500</v>
      </c>
      <c r="N30" s="23">
        <v>260100623</v>
      </c>
      <c r="O30" s="30">
        <f t="shared" ref="O30:O31" ca="1" si="12">$O$3-D30</f>
        <v>5.5284715277812211</v>
      </c>
      <c r="P30" s="30">
        <f t="shared" ref="P30:P31" ca="1" si="13">$O$3-H30</f>
        <v>0.52847152778122108</v>
      </c>
      <c r="Q30" s="33"/>
    </row>
    <row r="31" spans="1:22" s="3" customFormat="1" ht="18" customHeight="1">
      <c r="B31" s="170" t="s">
        <v>50</v>
      </c>
      <c r="C31" s="153">
        <v>548</v>
      </c>
      <c r="D31" s="70">
        <v>46265</v>
      </c>
      <c r="E31" s="183">
        <v>13180</v>
      </c>
      <c r="F31" s="70">
        <v>46265</v>
      </c>
      <c r="G31" s="58" t="s">
        <v>87</v>
      </c>
      <c r="H31" s="70">
        <v>46270</v>
      </c>
      <c r="I31" s="181">
        <v>3</v>
      </c>
      <c r="J31" s="66" t="s">
        <v>136</v>
      </c>
      <c r="K31" s="5">
        <f>3*5000</f>
        <v>15000</v>
      </c>
      <c r="L31" s="29">
        <v>10.9</v>
      </c>
      <c r="M31" s="11">
        <f t="shared" si="11"/>
        <v>163500</v>
      </c>
      <c r="N31" s="23">
        <v>260100623</v>
      </c>
      <c r="O31" s="30">
        <f t="shared" ca="1" si="12"/>
        <v>5.5284715277812211</v>
      </c>
      <c r="P31" s="30">
        <f t="shared" ca="1" si="13"/>
        <v>0.52847152778122108</v>
      </c>
      <c r="Q31" s="33"/>
    </row>
    <row r="32" spans="1:22" s="3" customFormat="1" ht="18" customHeight="1">
      <c r="B32" s="7"/>
      <c r="C32" s="5"/>
      <c r="D32" s="5"/>
      <c r="E32" s="5"/>
      <c r="F32" s="27"/>
      <c r="G32" s="5"/>
      <c r="H32" s="27"/>
      <c r="I32" s="28"/>
      <c r="J32" s="66"/>
      <c r="K32" s="5"/>
      <c r="L32" s="23"/>
      <c r="M32" s="11"/>
      <c r="N32" s="23"/>
      <c r="O32" s="23"/>
      <c r="P32" s="30"/>
      <c r="Q32" s="30"/>
      <c r="R32" s="33"/>
      <c r="S32" s="18"/>
      <c r="T32" s="18"/>
      <c r="U32" s="18"/>
      <c r="V32" s="18"/>
    </row>
    <row r="33" spans="2:22" s="18" customFormat="1" ht="18" customHeight="1">
      <c r="B33" s="197" t="s">
        <v>3</v>
      </c>
      <c r="C33" s="197"/>
      <c r="D33" s="197"/>
      <c r="E33" s="197"/>
      <c r="F33" s="197"/>
      <c r="G33" s="197"/>
      <c r="H33" s="197"/>
      <c r="I33" s="162">
        <f>SUM(I30:I32)</f>
        <v>4</v>
      </c>
      <c r="J33" s="67"/>
      <c r="K33" s="162">
        <f>SUM(K30:K32)</f>
        <v>20000</v>
      </c>
      <c r="L33" s="162"/>
      <c r="M33" s="34">
        <f>SUM(M30:M32)</f>
        <v>218000</v>
      </c>
      <c r="N33" s="35"/>
      <c r="O33" s="35"/>
      <c r="P33" s="36"/>
      <c r="Q33" s="36"/>
      <c r="R33" s="37"/>
    </row>
    <row r="34" spans="2:22" s="3" customFormat="1" ht="17.25" customHeight="1">
      <c r="B34" s="170" t="s">
        <v>51</v>
      </c>
      <c r="C34" s="153">
        <v>522</v>
      </c>
      <c r="D34" s="70">
        <v>46255</v>
      </c>
      <c r="E34" s="176">
        <v>13132</v>
      </c>
      <c r="F34" s="70">
        <v>46255</v>
      </c>
      <c r="G34" s="58" t="s">
        <v>87</v>
      </c>
      <c r="H34" s="70">
        <v>46260</v>
      </c>
      <c r="I34" s="181">
        <f>2+1-2</f>
        <v>1</v>
      </c>
      <c r="J34" s="66" t="s">
        <v>130</v>
      </c>
      <c r="K34" s="5">
        <f>2*10000+1*9000-20000</f>
        <v>9000</v>
      </c>
      <c r="L34" s="29">
        <v>8.16</v>
      </c>
      <c r="M34" s="11">
        <f t="shared" ref="M34:M38" si="14">+K34*L34</f>
        <v>73440</v>
      </c>
      <c r="N34" s="23">
        <v>260100615</v>
      </c>
      <c r="O34" s="30">
        <f ca="1">$O$3-D34</f>
        <v>15.528471527781221</v>
      </c>
      <c r="P34" s="30">
        <f t="shared" ref="P34:P38" ca="1" si="15">$O$3-H34</f>
        <v>10.528471527781221</v>
      </c>
      <c r="Q34" s="115"/>
      <c r="R34" s="23"/>
      <c r="S34" s="18"/>
    </row>
    <row r="35" spans="2:22" s="3" customFormat="1" ht="17.25" customHeight="1">
      <c r="B35" s="170" t="s">
        <v>51</v>
      </c>
      <c r="C35" s="153">
        <v>532</v>
      </c>
      <c r="D35" s="70">
        <v>46258</v>
      </c>
      <c r="E35" s="183" t="s">
        <v>91</v>
      </c>
      <c r="F35" s="70">
        <v>46258</v>
      </c>
      <c r="G35" s="58" t="s">
        <v>87</v>
      </c>
      <c r="H35" s="70">
        <v>46262</v>
      </c>
      <c r="I35" s="181">
        <v>1</v>
      </c>
      <c r="J35" s="66" t="s">
        <v>120</v>
      </c>
      <c r="K35" s="5">
        <f>1*10000</f>
        <v>10000</v>
      </c>
      <c r="L35" s="29">
        <v>8.16</v>
      </c>
      <c r="M35" s="11">
        <f t="shared" si="14"/>
        <v>81600</v>
      </c>
      <c r="N35" s="23">
        <v>260100615</v>
      </c>
      <c r="O35" s="30">
        <f t="shared" ref="O35:O38" ca="1" si="16">$O$3-D35</f>
        <v>12.528471527781221</v>
      </c>
      <c r="P35" s="30">
        <f t="shared" ca="1" si="15"/>
        <v>8.5284715277812211</v>
      </c>
      <c r="Q35" s="115"/>
      <c r="R35" s="23"/>
      <c r="S35" s="18"/>
    </row>
    <row r="36" spans="2:22" s="3" customFormat="1" ht="17.25" customHeight="1">
      <c r="B36" s="170" t="s">
        <v>51</v>
      </c>
      <c r="C36" s="153">
        <v>538</v>
      </c>
      <c r="D36" s="70">
        <v>46260</v>
      </c>
      <c r="E36" s="183">
        <v>13158</v>
      </c>
      <c r="F36" s="70">
        <v>46260</v>
      </c>
      <c r="G36" s="58" t="s">
        <v>87</v>
      </c>
      <c r="H36" s="70">
        <v>46262</v>
      </c>
      <c r="I36" s="181">
        <v>1</v>
      </c>
      <c r="J36" s="66" t="s">
        <v>120</v>
      </c>
      <c r="K36" s="5">
        <f>1*10000</f>
        <v>10000</v>
      </c>
      <c r="L36" s="29">
        <v>8.16</v>
      </c>
      <c r="M36" s="11">
        <f t="shared" si="14"/>
        <v>81600</v>
      </c>
      <c r="N36" s="23">
        <v>260100615</v>
      </c>
      <c r="O36" s="30">
        <f t="shared" ca="1" si="16"/>
        <v>10.528471527781221</v>
      </c>
      <c r="P36" s="30">
        <f t="shared" ca="1" si="15"/>
        <v>8.5284715277812211</v>
      </c>
      <c r="Q36" s="115"/>
      <c r="R36" s="23"/>
      <c r="S36" s="18"/>
    </row>
    <row r="37" spans="2:22" s="3" customFormat="1" ht="17.25" customHeight="1">
      <c r="B37" s="170" t="s">
        <v>51</v>
      </c>
      <c r="C37" s="153">
        <v>558</v>
      </c>
      <c r="D37" s="70">
        <v>46265</v>
      </c>
      <c r="E37" s="183">
        <v>13180</v>
      </c>
      <c r="F37" s="70">
        <v>46265</v>
      </c>
      <c r="G37" s="58" t="s">
        <v>87</v>
      </c>
      <c r="H37" s="70">
        <v>46270</v>
      </c>
      <c r="I37" s="181">
        <v>1</v>
      </c>
      <c r="J37" s="66" t="s">
        <v>120</v>
      </c>
      <c r="K37" s="5">
        <f>1*10000</f>
        <v>10000</v>
      </c>
      <c r="L37" s="29">
        <v>8.16</v>
      </c>
      <c r="M37" s="11">
        <f t="shared" si="14"/>
        <v>81600</v>
      </c>
      <c r="N37" s="23">
        <v>260100615</v>
      </c>
      <c r="O37" s="30">
        <f t="shared" ca="1" si="16"/>
        <v>5.5284715277812211</v>
      </c>
      <c r="P37" s="30">
        <f t="shared" ca="1" si="15"/>
        <v>0.52847152778122108</v>
      </c>
      <c r="Q37" s="115"/>
      <c r="S37" s="18"/>
    </row>
    <row r="38" spans="2:22" s="3" customFormat="1" ht="17.25" customHeight="1">
      <c r="B38" s="170" t="s">
        <v>51</v>
      </c>
      <c r="C38" s="153">
        <v>549</v>
      </c>
      <c r="D38" s="70">
        <v>46265</v>
      </c>
      <c r="E38" s="183">
        <v>13180</v>
      </c>
      <c r="F38" s="70">
        <v>46265</v>
      </c>
      <c r="G38" s="58" t="s">
        <v>87</v>
      </c>
      <c r="H38" s="70">
        <v>46270</v>
      </c>
      <c r="I38" s="181">
        <v>1</v>
      </c>
      <c r="J38" s="66" t="s">
        <v>120</v>
      </c>
      <c r="K38" s="5">
        <f>1*10000</f>
        <v>10000</v>
      </c>
      <c r="L38" s="29">
        <v>8.16</v>
      </c>
      <c r="M38" s="11">
        <f t="shared" si="14"/>
        <v>81600</v>
      </c>
      <c r="N38" s="23">
        <v>260100615</v>
      </c>
      <c r="O38" s="30">
        <f t="shared" ca="1" si="16"/>
        <v>5.5284715277812211</v>
      </c>
      <c r="P38" s="30">
        <f t="shared" ca="1" si="15"/>
        <v>0.52847152778122108</v>
      </c>
      <c r="Q38" s="115"/>
      <c r="S38" s="18"/>
    </row>
    <row r="39" spans="2:22" s="3" customFormat="1" ht="18" customHeight="1">
      <c r="B39" s="7"/>
      <c r="C39" s="5"/>
      <c r="D39" s="5"/>
      <c r="E39" s="23"/>
      <c r="F39" s="27"/>
      <c r="G39" s="5"/>
      <c r="H39" s="27"/>
      <c r="I39" s="28"/>
      <c r="J39" s="66"/>
      <c r="K39" s="5"/>
      <c r="L39" s="23"/>
      <c r="M39" s="11"/>
      <c r="N39" s="23"/>
      <c r="O39" s="23"/>
      <c r="P39" s="30"/>
      <c r="Q39" s="30"/>
      <c r="R39" s="38"/>
      <c r="S39" s="18"/>
      <c r="T39" s="18"/>
      <c r="U39" s="18"/>
      <c r="V39" s="18"/>
    </row>
    <row r="40" spans="2:22" s="18" customFormat="1" ht="18" customHeight="1">
      <c r="B40" s="197" t="s">
        <v>3</v>
      </c>
      <c r="C40" s="197"/>
      <c r="D40" s="197"/>
      <c r="E40" s="197"/>
      <c r="F40" s="197"/>
      <c r="G40" s="197"/>
      <c r="H40" s="197"/>
      <c r="I40" s="162">
        <f>SUM(I34:I39)</f>
        <v>5</v>
      </c>
      <c r="J40" s="67"/>
      <c r="K40" s="162">
        <f>SUM(K34:K39)</f>
        <v>49000</v>
      </c>
      <c r="L40" s="162"/>
      <c r="M40" s="34">
        <f>SUM(M34:M39)</f>
        <v>399840</v>
      </c>
      <c r="N40" s="35"/>
      <c r="O40" s="35"/>
      <c r="P40" s="36"/>
      <c r="Q40" s="36"/>
      <c r="R40" s="37"/>
    </row>
    <row r="41" spans="2:22" s="3" customFormat="1" ht="18" customHeight="1">
      <c r="B41" s="170" t="s">
        <v>36</v>
      </c>
      <c r="C41" s="153">
        <v>555</v>
      </c>
      <c r="D41" s="70">
        <v>46265</v>
      </c>
      <c r="E41" s="183">
        <v>13180</v>
      </c>
      <c r="F41" s="70">
        <v>46265</v>
      </c>
      <c r="G41" s="58" t="s">
        <v>87</v>
      </c>
      <c r="H41" s="70">
        <v>46270</v>
      </c>
      <c r="I41" s="181">
        <v>1</v>
      </c>
      <c r="J41" s="66" t="s">
        <v>97</v>
      </c>
      <c r="K41" s="5">
        <f>1*6000</f>
        <v>6000</v>
      </c>
      <c r="L41" s="29">
        <v>11.3</v>
      </c>
      <c r="M41" s="11">
        <f t="shared" ref="M41:M42" si="17">+K41*L41</f>
        <v>67800</v>
      </c>
      <c r="N41" s="23">
        <v>260101375</v>
      </c>
      <c r="O41" s="30">
        <f t="shared" ref="O41:O42" ca="1" si="18">$O$3-D41</f>
        <v>5.5284715277812211</v>
      </c>
      <c r="P41" s="30">
        <f t="shared" ref="P41:P42" ca="1" si="19">$O$3-H41</f>
        <v>0.52847152778122108</v>
      </c>
      <c r="Q41" s="30"/>
    </row>
    <row r="42" spans="2:22" s="3" customFormat="1" ht="18" customHeight="1">
      <c r="B42" s="170" t="s">
        <v>36</v>
      </c>
      <c r="C42" s="153">
        <v>550</v>
      </c>
      <c r="D42" s="70">
        <v>46265</v>
      </c>
      <c r="E42" s="183">
        <v>13180</v>
      </c>
      <c r="F42" s="70">
        <v>46265</v>
      </c>
      <c r="G42" s="58" t="s">
        <v>87</v>
      </c>
      <c r="H42" s="70">
        <v>46270</v>
      </c>
      <c r="I42" s="181">
        <v>2</v>
      </c>
      <c r="J42" s="66" t="s">
        <v>111</v>
      </c>
      <c r="K42" s="5">
        <f>2*6000</f>
        <v>12000</v>
      </c>
      <c r="L42" s="29">
        <v>11.3</v>
      </c>
      <c r="M42" s="11">
        <f t="shared" si="17"/>
        <v>135600</v>
      </c>
      <c r="N42" s="23">
        <v>260101375</v>
      </c>
      <c r="O42" s="30">
        <f t="shared" ca="1" si="18"/>
        <v>5.5284715277812211</v>
      </c>
      <c r="P42" s="30">
        <f t="shared" ca="1" si="19"/>
        <v>0.52847152778122108</v>
      </c>
      <c r="Q42" s="30"/>
    </row>
    <row r="43" spans="2:22" s="3" customFormat="1" ht="18" customHeight="1">
      <c r="B43" s="7"/>
      <c r="C43" s="5"/>
      <c r="D43" s="5"/>
      <c r="E43" s="23"/>
      <c r="F43" s="27"/>
      <c r="G43" s="5"/>
      <c r="H43" s="27"/>
      <c r="I43" s="28"/>
      <c r="J43" s="66"/>
      <c r="K43" s="5"/>
      <c r="L43" s="23"/>
      <c r="M43" s="11"/>
      <c r="N43" s="23"/>
      <c r="O43" s="23"/>
      <c r="P43" s="30"/>
      <c r="Q43" s="30"/>
      <c r="R43" s="38"/>
    </row>
    <row r="44" spans="2:22" s="18" customFormat="1" ht="18" customHeight="1">
      <c r="B44" s="197" t="s">
        <v>3</v>
      </c>
      <c r="C44" s="197"/>
      <c r="D44" s="197"/>
      <c r="E44" s="197"/>
      <c r="F44" s="197"/>
      <c r="G44" s="197"/>
      <c r="H44" s="197"/>
      <c r="I44" s="162">
        <f>SUM(I41:I43)</f>
        <v>3</v>
      </c>
      <c r="J44" s="67"/>
      <c r="K44" s="162">
        <f>SUM(K41:K43)</f>
        <v>18000</v>
      </c>
      <c r="L44" s="162"/>
      <c r="M44" s="34">
        <f>SUM(M41:M43)</f>
        <v>203400</v>
      </c>
      <c r="N44" s="35"/>
      <c r="O44" s="35"/>
      <c r="P44" s="36"/>
      <c r="Q44" s="36"/>
      <c r="R44" s="37"/>
    </row>
    <row r="45" spans="2:22" s="3" customFormat="1" ht="18" customHeight="1">
      <c r="B45" s="7" t="s">
        <v>35</v>
      </c>
      <c r="C45" s="153"/>
      <c r="D45" s="70"/>
      <c r="E45" s="183"/>
      <c r="F45" s="70"/>
      <c r="G45" s="58"/>
      <c r="H45" s="70"/>
      <c r="I45" s="181"/>
      <c r="J45" s="66"/>
      <c r="K45" s="5"/>
      <c r="L45" s="29"/>
      <c r="M45" s="11">
        <f t="shared" ref="M45" si="20">+K45*L45</f>
        <v>0</v>
      </c>
      <c r="N45" s="124">
        <v>260100623</v>
      </c>
      <c r="O45" s="30">
        <f t="shared" ref="O45" ca="1" si="21">$O$3-D45</f>
        <v>46270.528471527781</v>
      </c>
      <c r="P45" s="30">
        <f t="shared" ref="P45" ca="1" si="22">$O$3-H45</f>
        <v>46270.528471527781</v>
      </c>
      <c r="Q45" s="28"/>
    </row>
    <row r="46" spans="2:22" s="3" customFormat="1" ht="18" customHeight="1">
      <c r="B46" s="7"/>
      <c r="C46" s="5"/>
      <c r="D46" s="5"/>
      <c r="E46" s="5"/>
      <c r="F46" s="27"/>
      <c r="G46" s="5" t="s">
        <v>31</v>
      </c>
      <c r="H46" s="27"/>
      <c r="I46" s="28"/>
      <c r="J46" s="66"/>
      <c r="K46" s="5"/>
      <c r="L46" s="23"/>
      <c r="M46" s="11"/>
      <c r="N46" s="23"/>
      <c r="O46" s="23"/>
      <c r="P46" s="30"/>
      <c r="Q46" s="30"/>
      <c r="R46" s="23"/>
    </row>
    <row r="47" spans="2:22" s="18" customFormat="1" ht="18" customHeight="1">
      <c r="B47" s="197" t="s">
        <v>3</v>
      </c>
      <c r="C47" s="197"/>
      <c r="D47" s="197"/>
      <c r="E47" s="197"/>
      <c r="F47" s="197"/>
      <c r="G47" s="197"/>
      <c r="H47" s="197"/>
      <c r="I47" s="162">
        <f>SUM(I45:I46)</f>
        <v>0</v>
      </c>
      <c r="J47" s="67"/>
      <c r="K47" s="162">
        <f>SUM(K45:K46)</f>
        <v>0</v>
      </c>
      <c r="L47" s="162"/>
      <c r="M47" s="34">
        <f>SUM(M45:M46)</f>
        <v>0</v>
      </c>
      <c r="N47" s="35"/>
      <c r="O47" s="35"/>
      <c r="P47" s="36"/>
      <c r="Q47" s="36"/>
      <c r="R47" s="37"/>
    </row>
    <row r="48" spans="2:22" s="3" customFormat="1" ht="18" customHeight="1">
      <c r="B48" s="7" t="s">
        <v>66</v>
      </c>
      <c r="C48" s="153">
        <v>495</v>
      </c>
      <c r="D48" s="70">
        <v>46246</v>
      </c>
      <c r="E48" s="176">
        <v>13084</v>
      </c>
      <c r="F48" s="70">
        <v>46246</v>
      </c>
      <c r="G48" s="58" t="s">
        <v>87</v>
      </c>
      <c r="H48" s="70">
        <v>46252</v>
      </c>
      <c r="I48" s="181">
        <v>1</v>
      </c>
      <c r="J48" s="66" t="s">
        <v>126</v>
      </c>
      <c r="K48" s="5">
        <f>1*1500</f>
        <v>1500</v>
      </c>
      <c r="L48" s="29">
        <v>7.82</v>
      </c>
      <c r="M48" s="11">
        <f t="shared" ref="M48" si="23">+K48*L48</f>
        <v>11730</v>
      </c>
      <c r="N48" s="124">
        <v>260100623</v>
      </c>
      <c r="O48" s="30">
        <f t="shared" ref="O48" ca="1" si="24">$O$3-D48</f>
        <v>24.528471527781221</v>
      </c>
      <c r="P48" s="30">
        <f t="shared" ref="P48" ca="1" si="25">$P$3-H48</f>
        <v>18.528471527781221</v>
      </c>
      <c r="Q48" s="28"/>
      <c r="R48" s="23"/>
    </row>
    <row r="49" spans="2:18" s="3" customFormat="1" ht="18" customHeight="1">
      <c r="B49" s="7"/>
      <c r="C49" s="5"/>
      <c r="D49" s="27"/>
      <c r="E49" s="23"/>
      <c r="F49" s="27"/>
      <c r="G49" s="5"/>
      <c r="H49" s="27"/>
      <c r="I49" s="28"/>
      <c r="J49" s="66"/>
      <c r="K49" s="5"/>
      <c r="L49" s="23"/>
      <c r="M49" s="11"/>
      <c r="N49" s="23"/>
      <c r="O49" s="23"/>
      <c r="P49" s="30"/>
      <c r="Q49" s="30"/>
      <c r="R49" s="33"/>
    </row>
    <row r="50" spans="2:18" s="18" customFormat="1" ht="18" customHeight="1">
      <c r="B50" s="197" t="s">
        <v>3</v>
      </c>
      <c r="C50" s="197"/>
      <c r="D50" s="197"/>
      <c r="E50" s="197"/>
      <c r="F50" s="197"/>
      <c r="G50" s="197"/>
      <c r="H50" s="197"/>
      <c r="I50" s="162">
        <f>SUM(I48:I49)</f>
        <v>1</v>
      </c>
      <c r="J50" s="67"/>
      <c r="K50" s="162">
        <f>SUM(K48:K49)</f>
        <v>1500</v>
      </c>
      <c r="L50" s="162"/>
      <c r="M50" s="34">
        <f>SUM(M48:M49)</f>
        <v>11730</v>
      </c>
      <c r="N50" s="35"/>
      <c r="O50" s="35"/>
      <c r="P50" s="36"/>
      <c r="Q50" s="36"/>
      <c r="R50" s="37"/>
    </row>
    <row r="51" spans="2:18" s="3" customFormat="1" ht="18" customHeight="1">
      <c r="B51" s="7" t="s">
        <v>67</v>
      </c>
      <c r="C51" s="153">
        <v>405</v>
      </c>
      <c r="D51" s="70">
        <v>46223</v>
      </c>
      <c r="E51" s="176">
        <v>12969</v>
      </c>
      <c r="F51" s="70">
        <v>46223</v>
      </c>
      <c r="G51" s="58" t="s">
        <v>87</v>
      </c>
      <c r="H51" s="70">
        <v>46228</v>
      </c>
      <c r="I51" s="181">
        <v>7</v>
      </c>
      <c r="J51" s="66" t="s">
        <v>123</v>
      </c>
      <c r="K51" s="5">
        <f>7*3000</f>
        <v>21000</v>
      </c>
      <c r="L51" s="29">
        <v>19.14</v>
      </c>
      <c r="M51" s="11">
        <f t="shared" ref="M51:M64" si="26">+K51*L51</f>
        <v>401940</v>
      </c>
      <c r="N51" s="23">
        <v>250103544</v>
      </c>
      <c r="O51" s="30">
        <f t="shared" ref="O51:O64" ca="1" si="27">$O$3-D51</f>
        <v>47.528471527781221</v>
      </c>
      <c r="P51" s="30">
        <f t="shared" ref="P51:P59" ca="1" si="28">$P$3-H51</f>
        <v>42.528471527781221</v>
      </c>
      <c r="Q51" s="30"/>
      <c r="R51" s="28"/>
    </row>
    <row r="52" spans="2:18" s="3" customFormat="1" ht="18" customHeight="1">
      <c r="B52" s="7" t="s">
        <v>67</v>
      </c>
      <c r="C52" s="153">
        <v>416</v>
      </c>
      <c r="D52" s="70">
        <v>46225</v>
      </c>
      <c r="E52" s="176">
        <v>12986</v>
      </c>
      <c r="F52" s="70">
        <v>46225</v>
      </c>
      <c r="G52" s="58" t="s">
        <v>87</v>
      </c>
      <c r="H52" s="70">
        <v>46230</v>
      </c>
      <c r="I52" s="181">
        <v>1</v>
      </c>
      <c r="J52" s="66" t="s">
        <v>113</v>
      </c>
      <c r="K52" s="5">
        <f>1*3000</f>
        <v>3000</v>
      </c>
      <c r="L52" s="29">
        <v>19.14</v>
      </c>
      <c r="M52" s="11">
        <f t="shared" si="26"/>
        <v>57420</v>
      </c>
      <c r="N52" s="23">
        <v>250103544</v>
      </c>
      <c r="O52" s="30">
        <f t="shared" ca="1" si="27"/>
        <v>45.528471527781221</v>
      </c>
      <c r="P52" s="30">
        <f t="shared" ca="1" si="28"/>
        <v>40.528471527781221</v>
      </c>
      <c r="Q52" s="30"/>
      <c r="R52" s="28"/>
    </row>
    <row r="53" spans="2:18" s="3" customFormat="1" ht="18" customHeight="1">
      <c r="B53" s="7" t="s">
        <v>67</v>
      </c>
      <c r="C53" s="153">
        <v>424</v>
      </c>
      <c r="D53" s="70">
        <v>46228</v>
      </c>
      <c r="E53" s="176">
        <v>12996</v>
      </c>
      <c r="F53" s="70">
        <v>46228</v>
      </c>
      <c r="G53" s="58" t="s">
        <v>87</v>
      </c>
      <c r="H53" s="70">
        <v>46231</v>
      </c>
      <c r="I53" s="181">
        <v>2</v>
      </c>
      <c r="J53" s="66" t="s">
        <v>100</v>
      </c>
      <c r="K53" s="5">
        <f>2*3000</f>
        <v>6000</v>
      </c>
      <c r="L53" s="29">
        <v>19.14</v>
      </c>
      <c r="M53" s="11">
        <f t="shared" si="26"/>
        <v>114840</v>
      </c>
      <c r="N53" s="23">
        <v>250103544</v>
      </c>
      <c r="O53" s="30">
        <f t="shared" ca="1" si="27"/>
        <v>42.528471527781221</v>
      </c>
      <c r="P53" s="30">
        <f t="shared" ca="1" si="28"/>
        <v>39.528471527781221</v>
      </c>
      <c r="Q53" s="30"/>
      <c r="R53" s="28"/>
    </row>
    <row r="54" spans="2:18" s="3" customFormat="1" ht="18" customHeight="1">
      <c r="B54" s="7" t="s">
        <v>67</v>
      </c>
      <c r="C54" s="153">
        <v>430</v>
      </c>
      <c r="D54" s="70">
        <v>46228</v>
      </c>
      <c r="E54" s="176">
        <v>12996</v>
      </c>
      <c r="F54" s="70">
        <v>46228</v>
      </c>
      <c r="G54" s="58" t="s">
        <v>87</v>
      </c>
      <c r="H54" s="70">
        <v>46231</v>
      </c>
      <c r="I54" s="181">
        <v>1</v>
      </c>
      <c r="J54" s="66" t="s">
        <v>113</v>
      </c>
      <c r="K54" s="5">
        <f>1*3000</f>
        <v>3000</v>
      </c>
      <c r="L54" s="29">
        <v>19.14</v>
      </c>
      <c r="M54" s="11">
        <f t="shared" si="26"/>
        <v>57420</v>
      </c>
      <c r="N54" s="23">
        <v>250103544</v>
      </c>
      <c r="O54" s="30">
        <f t="shared" ca="1" si="27"/>
        <v>42.528471527781221</v>
      </c>
      <c r="P54" s="30">
        <f t="shared" ca="1" si="28"/>
        <v>39.528471527781221</v>
      </c>
      <c r="Q54" s="30"/>
      <c r="R54" s="28"/>
    </row>
    <row r="55" spans="2:18" s="3" customFormat="1" ht="18" customHeight="1">
      <c r="B55" s="7" t="s">
        <v>67</v>
      </c>
      <c r="C55" s="153">
        <v>441</v>
      </c>
      <c r="D55" s="70">
        <v>46233</v>
      </c>
      <c r="E55" s="176">
        <v>13028</v>
      </c>
      <c r="F55" s="70">
        <v>46233</v>
      </c>
      <c r="G55" s="58" t="s">
        <v>87</v>
      </c>
      <c r="H55" s="70">
        <v>46238</v>
      </c>
      <c r="I55" s="181">
        <v>5</v>
      </c>
      <c r="J55" s="66" t="s">
        <v>114</v>
      </c>
      <c r="K55" s="5">
        <f>5*3000</f>
        <v>15000</v>
      </c>
      <c r="L55" s="29">
        <v>19.14</v>
      </c>
      <c r="M55" s="11">
        <f t="shared" si="26"/>
        <v>287100</v>
      </c>
      <c r="N55" s="23">
        <v>250103544</v>
      </c>
      <c r="O55" s="30">
        <f t="shared" ca="1" si="27"/>
        <v>37.528471527781221</v>
      </c>
      <c r="P55" s="30">
        <f t="shared" ca="1" si="28"/>
        <v>32.528471527781221</v>
      </c>
      <c r="Q55" s="30">
        <f t="shared" ref="Q55:Q56" ca="1" si="29">$P$3-H55</f>
        <v>32.528471527781221</v>
      </c>
      <c r="R55" s="28"/>
    </row>
    <row r="56" spans="2:18" s="3" customFormat="1" ht="18" customHeight="1">
      <c r="B56" s="7" t="s">
        <v>67</v>
      </c>
      <c r="C56" s="153">
        <v>455</v>
      </c>
      <c r="D56" s="70">
        <v>46233</v>
      </c>
      <c r="E56" s="176">
        <v>13028</v>
      </c>
      <c r="F56" s="70">
        <v>46233</v>
      </c>
      <c r="G56" s="58" t="s">
        <v>87</v>
      </c>
      <c r="H56" s="70">
        <v>46238</v>
      </c>
      <c r="I56" s="181">
        <v>1</v>
      </c>
      <c r="J56" s="66" t="s">
        <v>113</v>
      </c>
      <c r="K56" s="5">
        <f>1*3000</f>
        <v>3000</v>
      </c>
      <c r="L56" s="29">
        <v>19.14</v>
      </c>
      <c r="M56" s="11">
        <f t="shared" si="26"/>
        <v>57420</v>
      </c>
      <c r="N56" s="23">
        <v>250103544</v>
      </c>
      <c r="O56" s="30">
        <f t="shared" ca="1" si="27"/>
        <v>37.528471527781221</v>
      </c>
      <c r="P56" s="30">
        <f t="shared" ca="1" si="28"/>
        <v>32.528471527781221</v>
      </c>
      <c r="Q56" s="30">
        <f t="shared" ca="1" si="29"/>
        <v>32.528471527781221</v>
      </c>
      <c r="R56" s="28"/>
    </row>
    <row r="57" spans="2:18" s="3" customFormat="1" ht="18" customHeight="1">
      <c r="B57" s="7" t="s">
        <v>67</v>
      </c>
      <c r="C57" s="153">
        <v>465</v>
      </c>
      <c r="D57" s="70">
        <v>46238</v>
      </c>
      <c r="E57" s="176">
        <v>13053</v>
      </c>
      <c r="F57" s="70">
        <v>46238</v>
      </c>
      <c r="G57" s="58" t="s">
        <v>87</v>
      </c>
      <c r="H57" s="70">
        <v>46242</v>
      </c>
      <c r="I57" s="181">
        <v>3</v>
      </c>
      <c r="J57" s="66" t="s">
        <v>119</v>
      </c>
      <c r="K57" s="5">
        <v>9000</v>
      </c>
      <c r="L57" s="29">
        <v>19.14</v>
      </c>
      <c r="M57" s="11">
        <f t="shared" si="26"/>
        <v>172260</v>
      </c>
      <c r="N57" s="23">
        <v>250103544</v>
      </c>
      <c r="O57" s="30">
        <f t="shared" ca="1" si="27"/>
        <v>32.528471527781221</v>
      </c>
      <c r="P57" s="30">
        <f t="shared" ca="1" si="28"/>
        <v>28.528471527781221</v>
      </c>
      <c r="Q57" s="30"/>
      <c r="R57" s="28"/>
    </row>
    <row r="58" spans="2:18" s="3" customFormat="1" ht="18" customHeight="1">
      <c r="B58" s="7" t="s">
        <v>67</v>
      </c>
      <c r="C58" s="153">
        <v>478</v>
      </c>
      <c r="D58" s="70">
        <v>46242</v>
      </c>
      <c r="E58" s="176">
        <v>13068</v>
      </c>
      <c r="F58" s="70">
        <v>46242</v>
      </c>
      <c r="G58" s="58" t="s">
        <v>87</v>
      </c>
      <c r="H58" s="70">
        <v>46247</v>
      </c>
      <c r="I58" s="181">
        <v>3</v>
      </c>
      <c r="J58" s="66" t="s">
        <v>119</v>
      </c>
      <c r="K58" s="5">
        <f>3*3000</f>
        <v>9000</v>
      </c>
      <c r="L58" s="29">
        <v>19.14</v>
      </c>
      <c r="M58" s="11">
        <f t="shared" si="26"/>
        <v>172260</v>
      </c>
      <c r="N58" s="23">
        <v>260100636</v>
      </c>
      <c r="O58" s="30">
        <f t="shared" ca="1" si="27"/>
        <v>28.528471527781221</v>
      </c>
      <c r="P58" s="30">
        <f t="shared" ca="1" si="28"/>
        <v>23.528471527781221</v>
      </c>
      <c r="Q58" s="28"/>
      <c r="R58" s="28"/>
    </row>
    <row r="59" spans="2:18" s="3" customFormat="1" ht="18" customHeight="1">
      <c r="B59" s="7" t="s">
        <v>67</v>
      </c>
      <c r="C59" s="153">
        <v>499</v>
      </c>
      <c r="D59" s="70">
        <v>46246</v>
      </c>
      <c r="E59" s="176">
        <v>13084</v>
      </c>
      <c r="F59" s="70">
        <v>46246</v>
      </c>
      <c r="G59" s="58" t="s">
        <v>87</v>
      </c>
      <c r="H59" s="70">
        <v>46252</v>
      </c>
      <c r="I59" s="181">
        <v>1</v>
      </c>
      <c r="J59" s="66" t="s">
        <v>121</v>
      </c>
      <c r="K59" s="5">
        <f>1*2000</f>
        <v>2000</v>
      </c>
      <c r="L59" s="29">
        <v>19.14</v>
      </c>
      <c r="M59" s="11">
        <f t="shared" si="26"/>
        <v>38280</v>
      </c>
      <c r="N59" s="23">
        <v>260100636</v>
      </c>
      <c r="O59" s="30">
        <f t="shared" ca="1" si="27"/>
        <v>24.528471527781221</v>
      </c>
      <c r="P59" s="30">
        <f t="shared" ca="1" si="28"/>
        <v>18.528471527781221</v>
      </c>
      <c r="Q59" s="28"/>
      <c r="R59" s="23"/>
    </row>
    <row r="60" spans="2:18" s="3" customFormat="1" ht="18" customHeight="1">
      <c r="B60" s="7" t="s">
        <v>67</v>
      </c>
      <c r="C60" s="153">
        <v>523</v>
      </c>
      <c r="D60" s="70">
        <v>46255</v>
      </c>
      <c r="E60" s="176">
        <v>13132</v>
      </c>
      <c r="F60" s="70">
        <v>46255</v>
      </c>
      <c r="G60" s="58" t="s">
        <v>87</v>
      </c>
      <c r="H60" s="70">
        <v>46260</v>
      </c>
      <c r="I60" s="181">
        <v>4</v>
      </c>
      <c r="J60" s="66" t="s">
        <v>112</v>
      </c>
      <c r="K60" s="5">
        <f>4*3000</f>
        <v>12000</v>
      </c>
      <c r="L60" s="29">
        <v>19.14</v>
      </c>
      <c r="M60" s="11">
        <f t="shared" si="26"/>
        <v>229680</v>
      </c>
      <c r="N60" s="23">
        <v>260100636</v>
      </c>
      <c r="O60" s="30">
        <f t="shared" ca="1" si="27"/>
        <v>15.528471527781221</v>
      </c>
      <c r="P60" s="30">
        <f t="shared" ref="P60:P64" ca="1" si="30">$O$3-H60</f>
        <v>10.528471527781221</v>
      </c>
      <c r="Q60" s="28"/>
      <c r="R60" s="23"/>
    </row>
    <row r="61" spans="2:18" s="3" customFormat="1" ht="18" customHeight="1">
      <c r="B61" s="7" t="s">
        <v>67</v>
      </c>
      <c r="C61" s="153">
        <v>533</v>
      </c>
      <c r="D61" s="70">
        <v>46258</v>
      </c>
      <c r="E61" s="183" t="s">
        <v>91</v>
      </c>
      <c r="F61" s="70">
        <v>46258</v>
      </c>
      <c r="G61" s="58" t="s">
        <v>87</v>
      </c>
      <c r="H61" s="70">
        <v>46262</v>
      </c>
      <c r="I61" s="181">
        <v>5</v>
      </c>
      <c r="J61" s="66" t="s">
        <v>114</v>
      </c>
      <c r="K61" s="5">
        <f>5*3000</f>
        <v>15000</v>
      </c>
      <c r="L61" s="29">
        <v>19.14</v>
      </c>
      <c r="M61" s="11">
        <f t="shared" si="26"/>
        <v>287100</v>
      </c>
      <c r="N61" s="23">
        <v>260100636</v>
      </c>
      <c r="O61" s="30">
        <f t="shared" ca="1" si="27"/>
        <v>12.528471527781221</v>
      </c>
      <c r="P61" s="30">
        <f t="shared" ca="1" si="30"/>
        <v>8.5284715277812211</v>
      </c>
      <c r="Q61" s="28"/>
      <c r="R61" s="23"/>
    </row>
    <row r="62" spans="2:18" s="3" customFormat="1" ht="18" customHeight="1">
      <c r="B62" s="7" t="s">
        <v>67</v>
      </c>
      <c r="C62" s="153">
        <v>540</v>
      </c>
      <c r="D62" s="70">
        <v>46260</v>
      </c>
      <c r="E62" s="183">
        <v>13158</v>
      </c>
      <c r="F62" s="70">
        <v>46260</v>
      </c>
      <c r="G62" s="58" t="s">
        <v>87</v>
      </c>
      <c r="H62" s="70">
        <v>46262</v>
      </c>
      <c r="I62" s="181">
        <v>1</v>
      </c>
      <c r="J62" s="66" t="s">
        <v>113</v>
      </c>
      <c r="K62" s="5">
        <f>1*3000</f>
        <v>3000</v>
      </c>
      <c r="L62" s="29">
        <v>19.14</v>
      </c>
      <c r="M62" s="11">
        <f t="shared" si="26"/>
        <v>57420</v>
      </c>
      <c r="N62" s="23">
        <v>260100636</v>
      </c>
      <c r="O62" s="30">
        <f t="shared" ca="1" si="27"/>
        <v>10.528471527781221</v>
      </c>
      <c r="P62" s="30">
        <f t="shared" ca="1" si="30"/>
        <v>8.5284715277812211</v>
      </c>
      <c r="Q62" s="28"/>
    </row>
    <row r="63" spans="2:18" s="3" customFormat="1" ht="18" customHeight="1">
      <c r="B63" s="7" t="s">
        <v>67</v>
      </c>
      <c r="C63" s="153">
        <v>542</v>
      </c>
      <c r="D63" s="70">
        <v>46260</v>
      </c>
      <c r="E63" s="183">
        <v>13158</v>
      </c>
      <c r="F63" s="70">
        <v>46260</v>
      </c>
      <c r="G63" s="58" t="s">
        <v>87</v>
      </c>
      <c r="H63" s="70">
        <v>46262</v>
      </c>
      <c r="I63" s="181">
        <v>1</v>
      </c>
      <c r="J63" s="66" t="s">
        <v>113</v>
      </c>
      <c r="K63" s="5">
        <f>1*3000</f>
        <v>3000</v>
      </c>
      <c r="L63" s="29">
        <v>19.14</v>
      </c>
      <c r="M63" s="11">
        <f t="shared" si="26"/>
        <v>57420</v>
      </c>
      <c r="N63" s="23">
        <v>260100636</v>
      </c>
      <c r="O63" s="30">
        <f t="shared" ca="1" si="27"/>
        <v>10.528471527781221</v>
      </c>
      <c r="P63" s="30">
        <f t="shared" ca="1" si="30"/>
        <v>8.5284715277812211</v>
      </c>
      <c r="Q63" s="28"/>
    </row>
    <row r="64" spans="2:18" s="3" customFormat="1" ht="18" customHeight="1">
      <c r="B64" s="7" t="s">
        <v>67</v>
      </c>
      <c r="C64" s="153">
        <v>551</v>
      </c>
      <c r="D64" s="70">
        <v>46265</v>
      </c>
      <c r="E64" s="183">
        <v>13180</v>
      </c>
      <c r="F64" s="70">
        <v>46265</v>
      </c>
      <c r="G64" s="58" t="s">
        <v>87</v>
      </c>
      <c r="H64" s="70">
        <v>46270</v>
      </c>
      <c r="I64" s="181">
        <v>1</v>
      </c>
      <c r="J64" s="66" t="s">
        <v>135</v>
      </c>
      <c r="K64" s="5">
        <f>1*2800</f>
        <v>2800</v>
      </c>
      <c r="L64" s="29">
        <v>19.14</v>
      </c>
      <c r="M64" s="11">
        <f t="shared" si="26"/>
        <v>53592</v>
      </c>
      <c r="N64" s="23">
        <v>260100636</v>
      </c>
      <c r="O64" s="30">
        <f t="shared" ca="1" si="27"/>
        <v>5.5284715277812211</v>
      </c>
      <c r="P64" s="30">
        <f t="shared" ca="1" si="30"/>
        <v>0.52847152778122108</v>
      </c>
      <c r="Q64" s="28"/>
    </row>
    <row r="65" spans="2:19" s="3" customFormat="1" ht="18" customHeight="1">
      <c r="B65" s="7"/>
      <c r="C65" s="5"/>
      <c r="D65" s="5"/>
      <c r="E65" s="23"/>
      <c r="F65" s="27"/>
      <c r="G65" s="5"/>
      <c r="H65" s="27"/>
      <c r="I65" s="28"/>
      <c r="J65" s="66"/>
      <c r="K65" s="5"/>
      <c r="L65" s="23"/>
      <c r="M65" s="11"/>
      <c r="N65" s="23"/>
      <c r="O65" s="23"/>
      <c r="P65" s="30"/>
      <c r="Q65" s="30"/>
      <c r="R65" s="38"/>
    </row>
    <row r="66" spans="2:19" s="18" customFormat="1" ht="18" customHeight="1">
      <c r="B66" s="197" t="s">
        <v>3</v>
      </c>
      <c r="C66" s="197"/>
      <c r="D66" s="197"/>
      <c r="E66" s="197"/>
      <c r="F66" s="197"/>
      <c r="G66" s="197"/>
      <c r="H66" s="197"/>
      <c r="I66" s="162">
        <f>SUM(I51:I65)</f>
        <v>36</v>
      </c>
      <c r="J66" s="67"/>
      <c r="K66" s="162">
        <f>SUM(K51:K65)</f>
        <v>106800</v>
      </c>
      <c r="L66" s="162"/>
      <c r="M66" s="34">
        <f>SUM(M51:M65)</f>
        <v>2044152</v>
      </c>
      <c r="N66" s="35"/>
      <c r="O66" s="35"/>
      <c r="P66" s="36"/>
      <c r="Q66" s="36"/>
      <c r="R66" s="37"/>
    </row>
    <row r="67" spans="2:19" s="3" customFormat="1" ht="18" customHeight="1">
      <c r="B67" s="170" t="s">
        <v>68</v>
      </c>
      <c r="C67" s="153"/>
      <c r="D67" s="70"/>
      <c r="E67" s="183"/>
      <c r="F67" s="70"/>
      <c r="G67" s="58"/>
      <c r="H67" s="70"/>
      <c r="I67" s="181"/>
      <c r="J67" s="66"/>
      <c r="K67" s="5"/>
      <c r="L67" s="29"/>
      <c r="M67" s="11">
        <f t="shared" ref="M67" si="31">+K67*L67</f>
        <v>0</v>
      </c>
      <c r="N67" s="23">
        <v>260100624</v>
      </c>
      <c r="O67" s="30">
        <f t="shared" ref="O67" ca="1" si="32">$O$3-D67</f>
        <v>46270.528471527781</v>
      </c>
      <c r="P67" s="30">
        <f t="shared" ref="P67" ca="1" si="33">$O$3-H67</f>
        <v>46270.528471527781</v>
      </c>
      <c r="Q67" s="28"/>
    </row>
    <row r="68" spans="2:19" s="3" customFormat="1" ht="18" customHeight="1">
      <c r="B68" s="7"/>
      <c r="C68" s="5"/>
      <c r="D68" s="27"/>
      <c r="E68" s="23"/>
      <c r="F68" s="27"/>
      <c r="G68" s="5"/>
      <c r="H68" s="27"/>
      <c r="I68" s="28"/>
      <c r="J68" s="66"/>
      <c r="K68" s="5"/>
      <c r="L68" s="23"/>
      <c r="M68" s="11"/>
      <c r="N68" s="23"/>
      <c r="O68" s="23"/>
      <c r="P68" s="30"/>
      <c r="Q68" s="30"/>
      <c r="R68" s="33"/>
    </row>
    <row r="69" spans="2:19" s="18" customFormat="1" ht="18" customHeight="1">
      <c r="B69" s="194" t="s">
        <v>3</v>
      </c>
      <c r="C69" s="195"/>
      <c r="D69" s="195"/>
      <c r="E69" s="195"/>
      <c r="F69" s="195"/>
      <c r="G69" s="195"/>
      <c r="H69" s="196"/>
      <c r="I69" s="162">
        <f>SUM(I67:I68)</f>
        <v>0</v>
      </c>
      <c r="J69" s="67"/>
      <c r="K69" s="162">
        <f>SUM(K67:K68)</f>
        <v>0</v>
      </c>
      <c r="L69" s="162"/>
      <c r="M69" s="34">
        <f>SUM(M67:M68)</f>
        <v>0</v>
      </c>
      <c r="N69" s="35"/>
      <c r="O69" s="35"/>
      <c r="P69" s="36"/>
      <c r="Q69" s="36"/>
      <c r="R69" s="37"/>
    </row>
    <row r="70" spans="2:19" s="3" customFormat="1" ht="18" customHeight="1">
      <c r="B70" s="170" t="s">
        <v>69</v>
      </c>
      <c r="C70" s="153">
        <v>515</v>
      </c>
      <c r="D70" s="70">
        <v>46255</v>
      </c>
      <c r="E70" s="176">
        <v>13132</v>
      </c>
      <c r="F70" s="70">
        <v>46255</v>
      </c>
      <c r="G70" s="58" t="s">
        <v>87</v>
      </c>
      <c r="H70" s="70">
        <v>46260</v>
      </c>
      <c r="I70" s="181">
        <v>13</v>
      </c>
      <c r="J70" s="66" t="s">
        <v>128</v>
      </c>
      <c r="K70" s="5">
        <f>13*2000</f>
        <v>26000</v>
      </c>
      <c r="L70" s="29">
        <v>25.54</v>
      </c>
      <c r="M70" s="11">
        <f t="shared" ref="M70:M74" si="34">+K70*L70</f>
        <v>664040</v>
      </c>
      <c r="N70" s="23">
        <v>260100008</v>
      </c>
      <c r="O70" s="30">
        <f t="shared" ref="O70:O74" ca="1" si="35">$O$3-D70</f>
        <v>15.528471527781221</v>
      </c>
      <c r="P70" s="30">
        <f t="shared" ref="P70:P74" ca="1" si="36">$O$3-H70</f>
        <v>10.528471527781221</v>
      </c>
      <c r="Q70" s="115"/>
      <c r="R70" s="23"/>
      <c r="S70" s="18"/>
    </row>
    <row r="71" spans="2:19" s="3" customFormat="1" ht="18" customHeight="1">
      <c r="B71" s="170" t="s">
        <v>69</v>
      </c>
      <c r="C71" s="153">
        <v>525</v>
      </c>
      <c r="D71" s="70">
        <v>46258</v>
      </c>
      <c r="E71" s="183" t="s">
        <v>91</v>
      </c>
      <c r="F71" s="70">
        <v>46258</v>
      </c>
      <c r="G71" s="58" t="s">
        <v>87</v>
      </c>
      <c r="H71" s="70">
        <v>46262</v>
      </c>
      <c r="I71" s="181">
        <v>11</v>
      </c>
      <c r="J71" s="66" t="s">
        <v>129</v>
      </c>
      <c r="K71" s="5">
        <f>11*2000</f>
        <v>22000</v>
      </c>
      <c r="L71" s="29">
        <v>25.54</v>
      </c>
      <c r="M71" s="11">
        <f t="shared" si="34"/>
        <v>561880</v>
      </c>
      <c r="N71" s="23">
        <v>260100008</v>
      </c>
      <c r="O71" s="30">
        <f t="shared" ca="1" si="35"/>
        <v>12.528471527781221</v>
      </c>
      <c r="P71" s="30">
        <f t="shared" ca="1" si="36"/>
        <v>8.5284715277812211</v>
      </c>
      <c r="Q71" s="115"/>
      <c r="R71" s="23"/>
      <c r="S71" s="18"/>
    </row>
    <row r="72" spans="2:19" s="3" customFormat="1" ht="18" customHeight="1">
      <c r="B72" s="170" t="s">
        <v>69</v>
      </c>
      <c r="C72" s="153">
        <v>534</v>
      </c>
      <c r="D72" s="70">
        <v>46260</v>
      </c>
      <c r="E72" s="183">
        <v>13158</v>
      </c>
      <c r="F72" s="70">
        <v>46260</v>
      </c>
      <c r="G72" s="58" t="s">
        <v>87</v>
      </c>
      <c r="H72" s="70">
        <v>46262</v>
      </c>
      <c r="I72" s="181">
        <v>3</v>
      </c>
      <c r="J72" s="66" t="s">
        <v>124</v>
      </c>
      <c r="K72" s="5">
        <f>3*2000</f>
        <v>6000</v>
      </c>
      <c r="L72" s="29">
        <v>25.54</v>
      </c>
      <c r="M72" s="11">
        <f t="shared" si="34"/>
        <v>153240</v>
      </c>
      <c r="N72" s="23">
        <v>260100008</v>
      </c>
      <c r="O72" s="30">
        <f t="shared" ca="1" si="35"/>
        <v>10.528471527781221</v>
      </c>
      <c r="P72" s="30">
        <f t="shared" ca="1" si="36"/>
        <v>8.5284715277812211</v>
      </c>
      <c r="Q72" s="115"/>
      <c r="S72" s="18"/>
    </row>
    <row r="73" spans="2:19" s="3" customFormat="1" ht="18" customHeight="1">
      <c r="B73" s="170" t="s">
        <v>69</v>
      </c>
      <c r="C73" s="153">
        <v>552</v>
      </c>
      <c r="D73" s="70">
        <v>46265</v>
      </c>
      <c r="E73" s="183">
        <v>13180</v>
      </c>
      <c r="F73" s="70">
        <v>46265</v>
      </c>
      <c r="G73" s="58" t="s">
        <v>87</v>
      </c>
      <c r="H73" s="70">
        <v>46270</v>
      </c>
      <c r="I73" s="181">
        <v>2</v>
      </c>
      <c r="J73" s="66" t="s">
        <v>134</v>
      </c>
      <c r="K73" s="5">
        <f>2*2000</f>
        <v>4000</v>
      </c>
      <c r="L73" s="29">
        <v>25.54</v>
      </c>
      <c r="M73" s="11">
        <f t="shared" si="34"/>
        <v>102160</v>
      </c>
      <c r="N73" s="23">
        <v>260100008</v>
      </c>
      <c r="O73" s="30">
        <f t="shared" ca="1" si="35"/>
        <v>5.5284715277812211</v>
      </c>
      <c r="P73" s="30">
        <f t="shared" ca="1" si="36"/>
        <v>0.52847152778122108</v>
      </c>
      <c r="Q73" s="115"/>
      <c r="S73" s="18"/>
    </row>
    <row r="74" spans="2:19" s="3" customFormat="1" ht="18" customHeight="1">
      <c r="B74" s="170" t="s">
        <v>69</v>
      </c>
      <c r="C74" s="153">
        <v>544</v>
      </c>
      <c r="D74" s="70">
        <v>46265</v>
      </c>
      <c r="E74" s="183">
        <v>13180</v>
      </c>
      <c r="F74" s="70">
        <v>46265</v>
      </c>
      <c r="G74" s="58" t="s">
        <v>87</v>
      </c>
      <c r="H74" s="70">
        <v>46270</v>
      </c>
      <c r="I74" s="181">
        <v>7</v>
      </c>
      <c r="J74" s="66" t="s">
        <v>138</v>
      </c>
      <c r="K74" s="5">
        <f>7*2000</f>
        <v>14000</v>
      </c>
      <c r="L74" s="29">
        <v>25.54</v>
      </c>
      <c r="M74" s="11">
        <f t="shared" si="34"/>
        <v>357560</v>
      </c>
      <c r="N74" s="23">
        <v>260100008</v>
      </c>
      <c r="O74" s="30">
        <f t="shared" ca="1" si="35"/>
        <v>5.5284715277812211</v>
      </c>
      <c r="P74" s="30">
        <f t="shared" ca="1" si="36"/>
        <v>0.52847152778122108</v>
      </c>
      <c r="Q74" s="115"/>
      <c r="S74" s="18"/>
    </row>
    <row r="75" spans="2:19" s="3" customFormat="1" ht="18" customHeight="1">
      <c r="B75" s="7"/>
      <c r="C75" s="5"/>
      <c r="D75" s="27"/>
      <c r="E75" s="23"/>
      <c r="F75" s="27"/>
      <c r="G75" s="5"/>
      <c r="H75" s="27"/>
      <c r="I75" s="28"/>
      <c r="J75" s="66"/>
      <c r="K75" s="5"/>
      <c r="L75" s="23"/>
      <c r="M75" s="11"/>
      <c r="N75" s="23"/>
      <c r="O75" s="23"/>
      <c r="P75" s="30"/>
      <c r="Q75" s="30"/>
      <c r="R75" s="33"/>
    </row>
    <row r="76" spans="2:19" s="18" customFormat="1" ht="18" customHeight="1">
      <c r="B76" s="197" t="s">
        <v>3</v>
      </c>
      <c r="C76" s="197"/>
      <c r="D76" s="197"/>
      <c r="E76" s="197"/>
      <c r="F76" s="197"/>
      <c r="G76" s="197"/>
      <c r="H76" s="197"/>
      <c r="I76" s="175">
        <f>SUM(I70:I75)</f>
        <v>36</v>
      </c>
      <c r="J76" s="67"/>
      <c r="K76" s="175">
        <f>SUM(K70:K75)</f>
        <v>72000</v>
      </c>
      <c r="L76" s="175"/>
      <c r="M76" s="34">
        <f>SUM(M70:M75)</f>
        <v>1838880</v>
      </c>
      <c r="N76" s="35"/>
      <c r="O76" s="35"/>
      <c r="P76" s="36"/>
      <c r="Q76" s="36"/>
      <c r="R76" s="37"/>
    </row>
    <row r="77" spans="2:19" s="3" customFormat="1" ht="18" customHeight="1">
      <c r="B77" s="170" t="s">
        <v>70</v>
      </c>
      <c r="C77" s="153">
        <v>553</v>
      </c>
      <c r="D77" s="70">
        <v>46265</v>
      </c>
      <c r="E77" s="183">
        <v>13180</v>
      </c>
      <c r="F77" s="70">
        <v>46265</v>
      </c>
      <c r="G77" s="58" t="s">
        <v>87</v>
      </c>
      <c r="H77" s="70">
        <v>46270</v>
      </c>
      <c r="I77" s="181">
        <v>1</v>
      </c>
      <c r="J77" s="66" t="s">
        <v>133</v>
      </c>
      <c r="K77" s="5">
        <f>1*5000</f>
        <v>5000</v>
      </c>
      <c r="L77" s="29">
        <v>16.47</v>
      </c>
      <c r="M77" s="11">
        <f t="shared" ref="M77:M78" si="37">+K77*L77</f>
        <v>82350</v>
      </c>
      <c r="N77" s="23">
        <v>260100625</v>
      </c>
      <c r="O77" s="30">
        <f t="shared" ref="O77:O78" ca="1" si="38">$O$3-D77</f>
        <v>5.5284715277812211</v>
      </c>
      <c r="P77" s="30">
        <f t="shared" ref="P77:P78" ca="1" si="39">$O$3-H77</f>
        <v>0.52847152778122108</v>
      </c>
      <c r="Q77" s="28"/>
    </row>
    <row r="78" spans="2:19" s="3" customFormat="1" ht="18" customHeight="1">
      <c r="B78" s="170" t="s">
        <v>70</v>
      </c>
      <c r="C78" s="153">
        <v>545</v>
      </c>
      <c r="D78" s="70">
        <v>46265</v>
      </c>
      <c r="E78" s="183">
        <v>13180</v>
      </c>
      <c r="F78" s="70">
        <v>46265</v>
      </c>
      <c r="G78" s="58" t="s">
        <v>87</v>
      </c>
      <c r="H78" s="70">
        <v>46270</v>
      </c>
      <c r="I78" s="181">
        <v>2</v>
      </c>
      <c r="J78" s="66" t="s">
        <v>137</v>
      </c>
      <c r="K78" s="5">
        <f>2*5000</f>
        <v>10000</v>
      </c>
      <c r="L78" s="29">
        <v>16.47</v>
      </c>
      <c r="M78" s="11">
        <f t="shared" si="37"/>
        <v>164700</v>
      </c>
      <c r="N78" s="23">
        <v>260100625</v>
      </c>
      <c r="O78" s="30">
        <f t="shared" ca="1" si="38"/>
        <v>5.5284715277812211</v>
      </c>
      <c r="P78" s="30">
        <f t="shared" ca="1" si="39"/>
        <v>0.52847152778122108</v>
      </c>
      <c r="Q78" s="28"/>
    </row>
    <row r="79" spans="2:19" s="3" customFormat="1" ht="18" customHeight="1">
      <c r="B79" s="7"/>
      <c r="C79" s="5"/>
      <c r="D79" s="27"/>
      <c r="E79" s="23"/>
      <c r="F79" s="27"/>
      <c r="G79" s="5"/>
      <c r="H79" s="27"/>
      <c r="I79" s="28"/>
      <c r="J79" s="66"/>
      <c r="K79" s="5"/>
      <c r="L79" s="23"/>
      <c r="M79" s="11"/>
      <c r="N79" s="23"/>
      <c r="O79" s="23"/>
      <c r="P79" s="23"/>
      <c r="Q79" s="23"/>
      <c r="R79" s="33"/>
    </row>
    <row r="80" spans="2:19" s="18" customFormat="1" ht="18" customHeight="1">
      <c r="B80" s="197" t="s">
        <v>3</v>
      </c>
      <c r="C80" s="197"/>
      <c r="D80" s="197"/>
      <c r="E80" s="197"/>
      <c r="F80" s="197"/>
      <c r="G80" s="197"/>
      <c r="H80" s="197"/>
      <c r="I80" s="162">
        <f>SUM(I77:I79)</f>
        <v>3</v>
      </c>
      <c r="J80" s="67"/>
      <c r="K80" s="162">
        <f>SUM(K77:K79)</f>
        <v>15000</v>
      </c>
      <c r="L80" s="162"/>
      <c r="M80" s="34">
        <f>SUM(M77:M79)</f>
        <v>247050</v>
      </c>
      <c r="N80" s="35"/>
      <c r="O80" s="35"/>
      <c r="P80" s="36"/>
      <c r="Q80" s="36"/>
      <c r="R80" s="37"/>
    </row>
    <row r="81" spans="4:4" s="9" customFormat="1" ht="18" customHeight="1">
      <c r="D81" s="25"/>
    </row>
    <row r="82" spans="4:4" s="9" customFormat="1" ht="18" customHeight="1">
      <c r="D82" s="25"/>
    </row>
    <row r="83" spans="4:4" s="9" customFormat="1" ht="18" customHeight="1">
      <c r="D83" s="25"/>
    </row>
    <row r="84" spans="4:4" s="9" customFormat="1" ht="18" customHeight="1">
      <c r="D84" s="25"/>
    </row>
    <row r="85" spans="4:4" s="9" customFormat="1" ht="18" customHeight="1">
      <c r="D85" s="25"/>
    </row>
    <row r="86" spans="4:4" s="9" customFormat="1" ht="18" customHeight="1">
      <c r="D86" s="25"/>
    </row>
    <row r="87" spans="4:4" s="9" customFormat="1" ht="18" customHeight="1">
      <c r="D87" s="25"/>
    </row>
    <row r="88" spans="4:4" s="9" customFormat="1" ht="18" customHeight="1">
      <c r="D88" s="25"/>
    </row>
    <row r="89" spans="4:4" s="9" customFormat="1" ht="16.5" customHeight="1">
      <c r="D89" s="25"/>
    </row>
    <row r="90" spans="4:4" s="9" customFormat="1" ht="18" customHeight="1">
      <c r="D90" s="25"/>
    </row>
    <row r="91" spans="4:4" s="9" customFormat="1" ht="18" customHeight="1">
      <c r="D91" s="25"/>
    </row>
    <row r="92" spans="4:4" s="9" customFormat="1" ht="18" customHeight="1">
      <c r="D92" s="25"/>
    </row>
    <row r="93" spans="4:4" s="9" customFormat="1" ht="18" customHeight="1">
      <c r="D93" s="25"/>
    </row>
    <row r="94" spans="4:4" s="9" customFormat="1" ht="18" customHeight="1">
      <c r="D94" s="25"/>
    </row>
    <row r="95" spans="4:4" s="9" customFormat="1" ht="18" customHeight="1">
      <c r="D95" s="25"/>
    </row>
    <row r="96" spans="4:4" s="9" customFormat="1" ht="18" customHeight="1">
      <c r="D96" s="25"/>
    </row>
    <row r="97" spans="4:4" s="9" customFormat="1" ht="18" customHeight="1">
      <c r="D97" s="25"/>
    </row>
    <row r="98" spans="4:4" s="9" customFormat="1" ht="18" customHeight="1">
      <c r="D98" s="25"/>
    </row>
    <row r="99" spans="4:4" s="9" customFormat="1" ht="18" customHeight="1">
      <c r="D99" s="25"/>
    </row>
    <row r="100" spans="4:4" s="9" customFormat="1" ht="18" customHeight="1">
      <c r="D100" s="25"/>
    </row>
    <row r="101" spans="4:4" s="9" customFormat="1" ht="18" customHeight="1">
      <c r="D101" s="25"/>
    </row>
    <row r="102" spans="4:4" s="9" customFormat="1" ht="18" customHeight="1">
      <c r="D102" s="25"/>
    </row>
    <row r="103" spans="4:4" s="9" customFormat="1" ht="18" customHeight="1">
      <c r="D103" s="25"/>
    </row>
    <row r="104" spans="4:4" s="9" customFormat="1" ht="18" customHeight="1">
      <c r="D104" s="25"/>
    </row>
    <row r="105" spans="4:4" s="9" customFormat="1" ht="18" customHeight="1">
      <c r="D105" s="25"/>
    </row>
    <row r="106" spans="4:4" s="9" customFormat="1" ht="18" customHeight="1">
      <c r="D106" s="25"/>
    </row>
    <row r="107" spans="4:4" s="9" customFormat="1" ht="18" customHeight="1">
      <c r="D107" s="25"/>
    </row>
    <row r="108" spans="4:4" s="9" customFormat="1" ht="18" customHeight="1">
      <c r="D108" s="25"/>
    </row>
    <row r="109" spans="4:4" s="9" customFormat="1" ht="18" customHeight="1">
      <c r="D109" s="25"/>
    </row>
    <row r="110" spans="4:4" s="9" customFormat="1" ht="18" customHeight="1">
      <c r="D110" s="25"/>
    </row>
    <row r="111" spans="4:4" s="9" customFormat="1" ht="18" customHeight="1">
      <c r="D111" s="25"/>
    </row>
    <row r="112" spans="4:4" s="9" customFormat="1" ht="18" customHeight="1">
      <c r="D112" s="25"/>
    </row>
    <row r="113" spans="4:4" s="9" customFormat="1" ht="18" customHeight="1">
      <c r="D113" s="25"/>
    </row>
    <row r="114" spans="4:4" s="9" customFormat="1" ht="18" customHeight="1">
      <c r="D114" s="25"/>
    </row>
    <row r="115" spans="4:4" s="9" customFormat="1" ht="18" customHeight="1">
      <c r="D115" s="25"/>
    </row>
    <row r="116" spans="4:4" s="9" customFormat="1" ht="18" customHeight="1">
      <c r="D116" s="25"/>
    </row>
    <row r="117" spans="4:4" s="9" customFormat="1" ht="18" customHeight="1">
      <c r="D117" s="25"/>
    </row>
    <row r="118" spans="4:4" s="9" customFormat="1" ht="18" customHeight="1">
      <c r="D118" s="25"/>
    </row>
    <row r="119" spans="4:4" s="9" customFormat="1" ht="18" customHeight="1">
      <c r="D119" s="25"/>
    </row>
    <row r="120" spans="4:4" s="9" customFormat="1" ht="18" customHeight="1">
      <c r="D120" s="25"/>
    </row>
    <row r="121" spans="4:4" s="9" customFormat="1" ht="18" customHeight="1">
      <c r="D121" s="25"/>
    </row>
    <row r="122" spans="4:4" s="9" customFormat="1" ht="18" customHeight="1">
      <c r="D122" s="25"/>
    </row>
    <row r="123" spans="4:4" s="9" customFormat="1" ht="18" customHeight="1">
      <c r="D123" s="25"/>
    </row>
    <row r="124" spans="4:4" s="9" customFormat="1" ht="18" customHeight="1">
      <c r="D124" s="25"/>
    </row>
    <row r="125" spans="4:4" s="9" customFormat="1" ht="18" customHeight="1">
      <c r="D125" s="25"/>
    </row>
    <row r="126" spans="4:4" s="9" customFormat="1" ht="18" customHeight="1">
      <c r="D126" s="25"/>
    </row>
    <row r="127" spans="4:4" s="9" customFormat="1" ht="18" customHeight="1">
      <c r="D127" s="25"/>
    </row>
    <row r="128" spans="4:4" s="9" customFormat="1" ht="18" customHeight="1">
      <c r="D128" s="25"/>
    </row>
    <row r="129" spans="4:4" s="9" customFormat="1" ht="18" customHeight="1">
      <c r="D129" s="25"/>
    </row>
    <row r="130" spans="4:4" s="9" customFormat="1" ht="18" customHeight="1">
      <c r="D130" s="25"/>
    </row>
    <row r="131" spans="4:4" s="9" customFormat="1" ht="18" customHeight="1">
      <c r="D131" s="25"/>
    </row>
    <row r="132" spans="4:4" s="9" customFormat="1" ht="18" customHeight="1">
      <c r="D132" s="25"/>
    </row>
    <row r="133" spans="4:4" s="9" customFormat="1" ht="18" customHeight="1">
      <c r="D133" s="25"/>
    </row>
    <row r="134" spans="4:4" s="9" customFormat="1" ht="18" customHeight="1">
      <c r="D134" s="25"/>
    </row>
    <row r="135" spans="4:4" s="9" customFormat="1" ht="18" customHeight="1">
      <c r="D135" s="25"/>
    </row>
    <row r="136" spans="4:4" s="9" customFormat="1" ht="18" customHeight="1">
      <c r="D136" s="25"/>
    </row>
    <row r="137" spans="4:4" s="9" customFormat="1" ht="18" customHeight="1">
      <c r="D137" s="25"/>
    </row>
    <row r="138" spans="4:4" s="9" customFormat="1" ht="18" customHeight="1">
      <c r="D138" s="25"/>
    </row>
    <row r="139" spans="4:4" s="9" customFormat="1" ht="18" customHeight="1">
      <c r="D139" s="25"/>
    </row>
    <row r="140" spans="4:4" s="9" customFormat="1" ht="18" customHeight="1">
      <c r="D140" s="25"/>
    </row>
    <row r="141" spans="4:4" s="9" customFormat="1" ht="18" customHeight="1">
      <c r="D141" s="25"/>
    </row>
    <row r="142" spans="4:4" s="9" customFormat="1" ht="18" customHeight="1">
      <c r="D142" s="25"/>
    </row>
    <row r="143" spans="4:4" s="9" customFormat="1" ht="18" customHeight="1">
      <c r="D143" s="25"/>
    </row>
    <row r="144" spans="4:4" s="9" customFormat="1" ht="18" customHeight="1">
      <c r="D144" s="25"/>
    </row>
    <row r="145" spans="4:4" s="9" customFormat="1" ht="18" customHeight="1">
      <c r="D145" s="25"/>
    </row>
    <row r="146" spans="4:4" s="9" customFormat="1" ht="18" customHeight="1">
      <c r="D146" s="25"/>
    </row>
    <row r="147" spans="4:4" s="9" customFormat="1" ht="18" customHeight="1">
      <c r="D147" s="25"/>
    </row>
    <row r="148" spans="4:4" s="9" customFormat="1" ht="18" customHeight="1">
      <c r="D148" s="25"/>
    </row>
    <row r="149" spans="4:4" s="9" customFormat="1" ht="18" customHeight="1">
      <c r="D149" s="25"/>
    </row>
    <row r="150" spans="4:4" s="9" customFormat="1" ht="18" customHeight="1">
      <c r="D150" s="25"/>
    </row>
    <row r="151" spans="4:4" s="9" customFormat="1" ht="18" customHeight="1">
      <c r="D151" s="25"/>
    </row>
    <row r="152" spans="4:4" s="9" customFormat="1" ht="18" customHeight="1">
      <c r="D152" s="25"/>
    </row>
    <row r="153" spans="4:4" s="9" customFormat="1" ht="18" customHeight="1">
      <c r="D153" s="25"/>
    </row>
    <row r="154" spans="4:4" s="9" customFormat="1" ht="18" customHeight="1">
      <c r="D154" s="25"/>
    </row>
    <row r="155" spans="4:4" s="9" customFormat="1" ht="18" customHeight="1">
      <c r="D155" s="25"/>
    </row>
    <row r="156" spans="4:4" s="9" customFormat="1" ht="18" customHeight="1">
      <c r="D156" s="25"/>
    </row>
    <row r="157" spans="4:4" s="9" customFormat="1" ht="18" customHeight="1">
      <c r="D157" s="25"/>
    </row>
    <row r="158" spans="4:4" s="9" customFormat="1" ht="18" customHeight="1">
      <c r="D158" s="25"/>
    </row>
    <row r="159" spans="4:4" s="9" customFormat="1" ht="18" customHeight="1">
      <c r="D159" s="25"/>
    </row>
    <row r="160" spans="4:4" s="9" customFormat="1" ht="18" customHeight="1">
      <c r="D160" s="25"/>
    </row>
    <row r="161" spans="4:4" s="9" customFormat="1" ht="18" customHeight="1">
      <c r="D161" s="25"/>
    </row>
    <row r="162" spans="4:4" s="9" customFormat="1" ht="18" customHeight="1">
      <c r="D162" s="25"/>
    </row>
    <row r="163" spans="4:4" s="9" customFormat="1" ht="18" customHeight="1">
      <c r="D163" s="25"/>
    </row>
    <row r="164" spans="4:4" s="9" customFormat="1" ht="18" customHeight="1">
      <c r="D164" s="25"/>
    </row>
    <row r="165" spans="4:4" s="9" customFormat="1" ht="18" customHeight="1">
      <c r="D165" s="25"/>
    </row>
    <row r="166" spans="4:4" s="9" customFormat="1" ht="18" customHeight="1">
      <c r="D166" s="25"/>
    </row>
    <row r="167" spans="4:4" s="9" customFormat="1" ht="18" customHeight="1">
      <c r="D167" s="25"/>
    </row>
    <row r="168" spans="4:4" s="9" customFormat="1" ht="18" customHeight="1">
      <c r="D168" s="25"/>
    </row>
    <row r="169" spans="4:4" s="9" customFormat="1" ht="18" customHeight="1">
      <c r="D169" s="25"/>
    </row>
    <row r="170" spans="4:4" s="9" customFormat="1" ht="18" customHeight="1">
      <c r="D170" s="25"/>
    </row>
    <row r="171" spans="4:4" s="9" customFormat="1" ht="18" customHeight="1">
      <c r="D171" s="25"/>
    </row>
    <row r="172" spans="4:4" s="9" customFormat="1" ht="18" customHeight="1">
      <c r="D172" s="25"/>
    </row>
    <row r="173" spans="4:4" s="9" customFormat="1" ht="18" customHeight="1">
      <c r="D173" s="25"/>
    </row>
    <row r="174" spans="4:4" s="9" customFormat="1" ht="18" customHeight="1">
      <c r="D174" s="25"/>
    </row>
    <row r="175" spans="4:4" s="9" customFormat="1" ht="18" customHeight="1">
      <c r="D175" s="25"/>
    </row>
    <row r="176" spans="4:4" s="9" customFormat="1" ht="18" customHeight="1">
      <c r="D176" s="25"/>
    </row>
    <row r="177" spans="4:4" s="9" customFormat="1" ht="18" customHeight="1">
      <c r="D177" s="25"/>
    </row>
    <row r="178" spans="4:4" s="9" customFormat="1" ht="18" customHeight="1">
      <c r="D178" s="25"/>
    </row>
    <row r="179" spans="4:4" s="9" customFormat="1" ht="18" customHeight="1">
      <c r="D179" s="25"/>
    </row>
    <row r="180" spans="4:4" s="9" customFormat="1" ht="18" customHeight="1">
      <c r="D180" s="25"/>
    </row>
    <row r="181" spans="4:4" s="9" customFormat="1" ht="18" customHeight="1">
      <c r="D181" s="25"/>
    </row>
    <row r="182" spans="4:4" s="9" customFormat="1" ht="18" customHeight="1">
      <c r="D182" s="25"/>
    </row>
    <row r="183" spans="4:4" s="9" customFormat="1" ht="18" customHeight="1">
      <c r="D183" s="25"/>
    </row>
    <row r="184" spans="4:4" s="9" customFormat="1" ht="18" customHeight="1">
      <c r="D184" s="25"/>
    </row>
    <row r="185" spans="4:4" s="9" customFormat="1" ht="18" customHeight="1">
      <c r="D185" s="25"/>
    </row>
    <row r="186" spans="4:4" s="9" customFormat="1" ht="18" customHeight="1">
      <c r="D186" s="25"/>
    </row>
    <row r="187" spans="4:4" s="9" customFormat="1" ht="18" customHeight="1">
      <c r="D187" s="25"/>
    </row>
    <row r="188" spans="4:4" s="9" customFormat="1" ht="18" customHeight="1">
      <c r="D188" s="25"/>
    </row>
    <row r="189" spans="4:4" s="9" customFormat="1" ht="18" customHeight="1">
      <c r="D189" s="25"/>
    </row>
    <row r="190" spans="4:4" s="9" customFormat="1" ht="18" customHeight="1">
      <c r="D190" s="25"/>
    </row>
    <row r="191" spans="4:4" s="9" customFormat="1" ht="18" customHeight="1">
      <c r="D191" s="25"/>
    </row>
    <row r="192" spans="4:4" s="9" customFormat="1" ht="18" customHeight="1">
      <c r="D192" s="25"/>
    </row>
    <row r="193" spans="4:4" s="9" customFormat="1" ht="18" customHeight="1">
      <c r="D193" s="25"/>
    </row>
    <row r="194" spans="4:4" s="9" customFormat="1" ht="18" customHeight="1">
      <c r="D194" s="25"/>
    </row>
    <row r="195" spans="4:4" s="9" customFormat="1" ht="18" customHeight="1">
      <c r="D195" s="25"/>
    </row>
    <row r="196" spans="4:4" s="9" customFormat="1" ht="18" customHeight="1">
      <c r="D196" s="25"/>
    </row>
    <row r="197" spans="4:4" s="9" customFormat="1" ht="18" customHeight="1">
      <c r="D197" s="25"/>
    </row>
    <row r="198" spans="4:4" s="9" customFormat="1" ht="18" customHeight="1">
      <c r="D198" s="25"/>
    </row>
    <row r="199" spans="4:4" s="9" customFormat="1" ht="18" customHeight="1">
      <c r="D199" s="25"/>
    </row>
    <row r="200" spans="4:4" s="9" customFormat="1" ht="18" customHeight="1">
      <c r="D200" s="25"/>
    </row>
    <row r="201" spans="4:4" s="9" customFormat="1" ht="18" customHeight="1">
      <c r="D201" s="25"/>
    </row>
    <row r="202" spans="4:4" s="9" customFormat="1" ht="18" customHeight="1">
      <c r="D202" s="25"/>
    </row>
    <row r="203" spans="4:4" s="9" customFormat="1" ht="18" customHeight="1">
      <c r="D203" s="25"/>
    </row>
    <row r="204" spans="4:4" s="9" customFormat="1" ht="18" customHeight="1">
      <c r="D204" s="25"/>
    </row>
    <row r="205" spans="4:4" s="9" customFormat="1" ht="18" customHeight="1">
      <c r="D205" s="25"/>
    </row>
    <row r="206" spans="4:4" s="9" customFormat="1" ht="18" customHeight="1">
      <c r="D206" s="25"/>
    </row>
    <row r="207" spans="4:4" s="9" customFormat="1" ht="18" customHeight="1">
      <c r="D207" s="25"/>
    </row>
    <row r="208" spans="4:4" s="9" customFormat="1" ht="18" customHeight="1">
      <c r="D208" s="25"/>
    </row>
    <row r="209" spans="4:4" s="9" customFormat="1" ht="18" customHeight="1">
      <c r="D209" s="25"/>
    </row>
    <row r="210" spans="4:4" s="9" customFormat="1" ht="18" customHeight="1">
      <c r="D210" s="25"/>
    </row>
    <row r="211" spans="4:4" s="9" customFormat="1" ht="18" customHeight="1">
      <c r="D211" s="25"/>
    </row>
    <row r="212" spans="4:4" s="9" customFormat="1" ht="18" customHeight="1">
      <c r="D212" s="25"/>
    </row>
    <row r="213" spans="4:4" s="9" customFormat="1" ht="18" customHeight="1">
      <c r="D213" s="25"/>
    </row>
    <row r="214" spans="4:4" s="9" customFormat="1" ht="18" customHeight="1">
      <c r="D214" s="25"/>
    </row>
    <row r="215" spans="4:4" s="9" customFormat="1" ht="18" customHeight="1">
      <c r="D215" s="25"/>
    </row>
    <row r="216" spans="4:4" s="9" customFormat="1" ht="18" customHeight="1">
      <c r="D216" s="25"/>
    </row>
    <row r="217" spans="4:4" s="9" customFormat="1" ht="18" customHeight="1">
      <c r="D217" s="25"/>
    </row>
    <row r="218" spans="4:4" s="9" customFormat="1" ht="18" customHeight="1">
      <c r="D218" s="25"/>
    </row>
    <row r="219" spans="4:4" s="9" customFormat="1" ht="18" customHeight="1">
      <c r="D219" s="25"/>
    </row>
    <row r="220" spans="4:4" s="9" customFormat="1" ht="18" customHeight="1">
      <c r="D220" s="25"/>
    </row>
    <row r="221" spans="4:4" s="9" customFormat="1" ht="18" customHeight="1">
      <c r="D221" s="25"/>
    </row>
    <row r="222" spans="4:4" s="9" customFormat="1" ht="18" customHeight="1">
      <c r="D222" s="25"/>
    </row>
    <row r="223" spans="4:4" s="9" customFormat="1" ht="18" customHeight="1">
      <c r="D223" s="25"/>
    </row>
    <row r="224" spans="4:4" s="9" customFormat="1" ht="18" customHeight="1">
      <c r="D224" s="25"/>
    </row>
    <row r="225" spans="4:4" s="9" customFormat="1" ht="18" customHeight="1">
      <c r="D225" s="25"/>
    </row>
    <row r="226" spans="4:4" s="9" customFormat="1" ht="18" customHeight="1">
      <c r="D226" s="25"/>
    </row>
    <row r="227" spans="4:4" s="9" customFormat="1" ht="18" customHeight="1">
      <c r="D227" s="25"/>
    </row>
    <row r="228" spans="4:4" s="9" customFormat="1" ht="18" customHeight="1">
      <c r="D228" s="25"/>
    </row>
    <row r="229" spans="4:4" s="9" customFormat="1" ht="18" customHeight="1">
      <c r="D229" s="25"/>
    </row>
    <row r="230" spans="4:4" s="9" customFormat="1" ht="18" customHeight="1">
      <c r="D230" s="25"/>
    </row>
    <row r="231" spans="4:4" s="9" customFormat="1" ht="18" customHeight="1">
      <c r="D231" s="25"/>
    </row>
    <row r="232" spans="4:4" s="9" customFormat="1" ht="18" customHeight="1">
      <c r="D232" s="25"/>
    </row>
    <row r="233" spans="4:4" s="9" customFormat="1" ht="18" customHeight="1">
      <c r="D233" s="25"/>
    </row>
    <row r="234" spans="4:4" s="9" customFormat="1" ht="18" customHeight="1">
      <c r="D234" s="25"/>
    </row>
    <row r="235" spans="4:4" s="9" customFormat="1" ht="18" customHeight="1">
      <c r="D235" s="25"/>
    </row>
    <row r="236" spans="4:4" s="9" customFormat="1" ht="18" customHeight="1">
      <c r="D236" s="25"/>
    </row>
    <row r="237" spans="4:4" s="9" customFormat="1" ht="18" customHeight="1">
      <c r="D237" s="25"/>
    </row>
    <row r="238" spans="4:4" s="9" customFormat="1" ht="18" customHeight="1">
      <c r="D238" s="25"/>
    </row>
    <row r="239" spans="4:4" s="9" customFormat="1" ht="18" customHeight="1">
      <c r="D239" s="25"/>
    </row>
    <row r="240" spans="4:4" s="9" customFormat="1" ht="18" customHeight="1">
      <c r="D240" s="25"/>
    </row>
    <row r="241" spans="4:4" s="9" customFormat="1" ht="18" customHeight="1">
      <c r="D241" s="25"/>
    </row>
    <row r="242" spans="4:4" s="9" customFormat="1" ht="18" customHeight="1">
      <c r="D242" s="25"/>
    </row>
    <row r="243" spans="4:4" s="9" customFormat="1" ht="18" customHeight="1">
      <c r="D243" s="25"/>
    </row>
    <row r="244" spans="4:4" s="9" customFormat="1" ht="18" customHeight="1">
      <c r="D244" s="25"/>
    </row>
    <row r="245" spans="4:4" s="9" customFormat="1" ht="18" customHeight="1">
      <c r="D245" s="25"/>
    </row>
    <row r="246" spans="4:4" s="9" customFormat="1" ht="18" customHeight="1">
      <c r="D246" s="25"/>
    </row>
    <row r="247" spans="4:4" s="9" customFormat="1" ht="18" customHeight="1">
      <c r="D247" s="25"/>
    </row>
    <row r="248" spans="4:4" s="9" customFormat="1" ht="18" customHeight="1">
      <c r="D248" s="25"/>
    </row>
    <row r="249" spans="4:4" s="9" customFormat="1" ht="18" customHeight="1">
      <c r="D249" s="25"/>
    </row>
    <row r="250" spans="4:4" s="9" customFormat="1" ht="18" customHeight="1">
      <c r="D250" s="25"/>
    </row>
    <row r="251" spans="4:4" s="9" customFormat="1" ht="18" customHeight="1">
      <c r="D251" s="25"/>
    </row>
    <row r="252" spans="4:4" s="9" customFormat="1" ht="18" customHeight="1">
      <c r="D252" s="25"/>
    </row>
    <row r="253" spans="4:4" s="9" customFormat="1" ht="18" customHeight="1">
      <c r="D253" s="25"/>
    </row>
    <row r="254" spans="4:4" s="9" customFormat="1" ht="18" customHeight="1">
      <c r="D254" s="25"/>
    </row>
    <row r="255" spans="4:4" s="9" customFormat="1" ht="18" customHeight="1">
      <c r="D255" s="25"/>
    </row>
    <row r="256" spans="4:4" s="9" customFormat="1" ht="18" customHeight="1">
      <c r="D256" s="25"/>
    </row>
    <row r="257" spans="4:4" s="9" customFormat="1" ht="18" customHeight="1">
      <c r="D257" s="25"/>
    </row>
    <row r="258" spans="4:4" s="9" customFormat="1" ht="18" customHeight="1">
      <c r="D258" s="25"/>
    </row>
    <row r="259" spans="4:4" s="9" customFormat="1" ht="18" customHeight="1">
      <c r="D259" s="25"/>
    </row>
    <row r="260" spans="4:4" s="9" customFormat="1" ht="18" customHeight="1">
      <c r="D260" s="25"/>
    </row>
    <row r="261" spans="4:4" s="9" customFormat="1" ht="18" customHeight="1">
      <c r="D261" s="25"/>
    </row>
    <row r="262" spans="4:4" s="9" customFormat="1" ht="18" customHeight="1">
      <c r="D262" s="25"/>
    </row>
    <row r="263" spans="4:4" s="9" customFormat="1" ht="18" customHeight="1">
      <c r="D263" s="25"/>
    </row>
    <row r="264" spans="4:4" s="9" customFormat="1" ht="18" customHeight="1">
      <c r="D264" s="25"/>
    </row>
    <row r="265" spans="4:4" s="9" customFormat="1" ht="18" customHeight="1">
      <c r="D265" s="25"/>
    </row>
    <row r="266" spans="4:4" s="9" customFormat="1" ht="18" customHeight="1">
      <c r="D266" s="25"/>
    </row>
    <row r="267" spans="4:4" s="9" customFormat="1" ht="18" customHeight="1">
      <c r="D267" s="25"/>
    </row>
    <row r="268" spans="4:4" s="9" customFormat="1" ht="18" customHeight="1">
      <c r="D268" s="25"/>
    </row>
    <row r="269" spans="4:4" s="9" customFormat="1" ht="18" customHeight="1">
      <c r="D269" s="25"/>
    </row>
    <row r="270" spans="4:4" s="9" customFormat="1" ht="18" customHeight="1">
      <c r="D270" s="25"/>
    </row>
    <row r="271" spans="4:4" s="9" customFormat="1" ht="18" customHeight="1">
      <c r="D271" s="25"/>
    </row>
    <row r="272" spans="4:4" s="9" customFormat="1" ht="18" customHeight="1">
      <c r="D272" s="25"/>
    </row>
    <row r="273" spans="4:4" s="9" customFormat="1" ht="18" customHeight="1">
      <c r="D273" s="25"/>
    </row>
    <row r="274" spans="4:4" s="9" customFormat="1" ht="18" customHeight="1">
      <c r="D274" s="25"/>
    </row>
    <row r="275" spans="4:4" s="9" customFormat="1" ht="18" customHeight="1">
      <c r="D275" s="25"/>
    </row>
    <row r="276" spans="4:4" s="9" customFormat="1" ht="18" customHeight="1">
      <c r="D276" s="25"/>
    </row>
    <row r="277" spans="4:4" s="9" customFormat="1" ht="18" customHeight="1">
      <c r="D277" s="25"/>
    </row>
    <row r="278" spans="4:4" s="9" customFormat="1" ht="18" customHeight="1">
      <c r="D278" s="25"/>
    </row>
    <row r="279" spans="4:4" s="9" customFormat="1" ht="18" customHeight="1">
      <c r="D279" s="25"/>
    </row>
    <row r="280" spans="4:4" s="9" customFormat="1" ht="18" customHeight="1">
      <c r="D280" s="25"/>
    </row>
    <row r="281" spans="4:4" s="9" customFormat="1" ht="18" customHeight="1">
      <c r="D281" s="25"/>
    </row>
    <row r="282" spans="4:4" s="9" customFormat="1" ht="18" customHeight="1">
      <c r="D282" s="25"/>
    </row>
    <row r="283" spans="4:4" s="9" customFormat="1" ht="18" customHeight="1">
      <c r="D283" s="25"/>
    </row>
    <row r="284" spans="4:4" s="9" customFormat="1" ht="18" customHeight="1">
      <c r="D284" s="25"/>
    </row>
    <row r="285" spans="4:4" s="9" customFormat="1" ht="18" customHeight="1">
      <c r="D285" s="25"/>
    </row>
    <row r="286" spans="4:4" s="9" customFormat="1" ht="18" customHeight="1">
      <c r="D286" s="25"/>
    </row>
    <row r="287" spans="4:4" s="9" customFormat="1" ht="18" customHeight="1">
      <c r="D287" s="25"/>
    </row>
    <row r="288" spans="4:4" s="9" customFormat="1" ht="18" customHeight="1">
      <c r="D288" s="25"/>
    </row>
    <row r="289" spans="4:4" s="9" customFormat="1" ht="18" customHeight="1">
      <c r="D289" s="25"/>
    </row>
    <row r="290" spans="4:4" s="9" customFormat="1" ht="18" customHeight="1">
      <c r="D290" s="25"/>
    </row>
    <row r="291" spans="4:4" s="9" customFormat="1" ht="18" customHeight="1">
      <c r="D291" s="25"/>
    </row>
    <row r="292" spans="4:4" s="9" customFormat="1" ht="18" customHeight="1">
      <c r="D292" s="25"/>
    </row>
    <row r="293" spans="4:4" s="9" customFormat="1" ht="18" customHeight="1">
      <c r="D293" s="25"/>
    </row>
    <row r="294" spans="4:4" s="9" customFormat="1" ht="18" customHeight="1">
      <c r="D294" s="25"/>
    </row>
    <row r="295" spans="4:4" s="9" customFormat="1" ht="18" customHeight="1">
      <c r="D295" s="25"/>
    </row>
    <row r="296" spans="4:4" s="9" customFormat="1" ht="18" customHeight="1">
      <c r="D296" s="25"/>
    </row>
    <row r="297" spans="4:4" s="9" customFormat="1" ht="18" customHeight="1">
      <c r="D297" s="25"/>
    </row>
    <row r="298" spans="4:4" s="9" customFormat="1" ht="18" customHeight="1">
      <c r="D298" s="25"/>
    </row>
    <row r="299" spans="4:4" s="9" customFormat="1" ht="18" customHeight="1">
      <c r="D299" s="25"/>
    </row>
    <row r="300" spans="4:4" s="9" customFormat="1" ht="18" customHeight="1">
      <c r="D300" s="25"/>
    </row>
    <row r="301" spans="4:4" s="9" customFormat="1" ht="18" customHeight="1">
      <c r="D301" s="25"/>
    </row>
    <row r="302" spans="4:4" s="9" customFormat="1" ht="18" customHeight="1">
      <c r="D302" s="25"/>
    </row>
    <row r="303" spans="4:4" s="9" customFormat="1" ht="18" customHeight="1">
      <c r="D303" s="25"/>
    </row>
    <row r="304" spans="4:4" s="9" customFormat="1" ht="18" customHeight="1">
      <c r="D304" s="25"/>
    </row>
    <row r="305" spans="4:4" s="9" customFormat="1" ht="18" customHeight="1">
      <c r="D305" s="25"/>
    </row>
    <row r="306" spans="4:4" s="9" customFormat="1" ht="18" customHeight="1">
      <c r="D306" s="25"/>
    </row>
    <row r="307" spans="4:4" s="9" customFormat="1" ht="18" customHeight="1">
      <c r="D307" s="25"/>
    </row>
    <row r="308" spans="4:4" s="9" customFormat="1" ht="18" customHeight="1">
      <c r="D308" s="25"/>
    </row>
    <row r="309" spans="4:4" s="9" customFormat="1" ht="18" customHeight="1">
      <c r="D309" s="25"/>
    </row>
    <row r="310" spans="4:4" s="9" customFormat="1" ht="18" customHeight="1">
      <c r="D310" s="25"/>
    </row>
    <row r="311" spans="4:4" s="9" customFormat="1" ht="18" customHeight="1">
      <c r="D311" s="25"/>
    </row>
    <row r="312" spans="4:4" s="9" customFormat="1" ht="18" customHeight="1">
      <c r="D312" s="25"/>
    </row>
    <row r="313" spans="4:4" s="9" customFormat="1" ht="18" customHeight="1">
      <c r="D313" s="25"/>
    </row>
    <row r="314" spans="4:4" s="9" customFormat="1" ht="18" customHeight="1">
      <c r="D314" s="25"/>
    </row>
    <row r="315" spans="4:4" s="9" customFormat="1" ht="18" customHeight="1">
      <c r="D315" s="25"/>
    </row>
    <row r="316" spans="4:4" s="9" customFormat="1" ht="18" customHeight="1">
      <c r="D316" s="25"/>
    </row>
    <row r="317" spans="4:4" s="9" customFormat="1" ht="18" customHeight="1">
      <c r="D317" s="25"/>
    </row>
    <row r="318" spans="4:4" s="9" customFormat="1" ht="18" customHeight="1">
      <c r="D318" s="25"/>
    </row>
    <row r="319" spans="4:4" s="9" customFormat="1" ht="18" customHeight="1">
      <c r="D319" s="25"/>
    </row>
    <row r="320" spans="4:4" s="9" customFormat="1" ht="18" customHeight="1">
      <c r="D320" s="25"/>
    </row>
    <row r="321" spans="4:4" s="9" customFormat="1" ht="18" customHeight="1">
      <c r="D321" s="25"/>
    </row>
    <row r="322" spans="4:4" s="9" customFormat="1" ht="18" customHeight="1">
      <c r="D322" s="25"/>
    </row>
    <row r="323" spans="4:4" s="9" customFormat="1" ht="18" customHeight="1">
      <c r="D323" s="25"/>
    </row>
    <row r="324" spans="4:4" s="9" customFormat="1" ht="18" customHeight="1">
      <c r="D324" s="25"/>
    </row>
    <row r="325" spans="4:4" s="9" customFormat="1" ht="18" customHeight="1">
      <c r="D325" s="25"/>
    </row>
    <row r="326" spans="4:4" s="9" customFormat="1" ht="18" customHeight="1">
      <c r="D326" s="25"/>
    </row>
    <row r="327" spans="4:4" s="9" customFormat="1" ht="18" customHeight="1">
      <c r="D327" s="25"/>
    </row>
    <row r="328" spans="4:4" s="9" customFormat="1" ht="18" customHeight="1">
      <c r="D328" s="25"/>
    </row>
    <row r="329" spans="4:4" s="9" customFormat="1" ht="18" customHeight="1">
      <c r="D329" s="25"/>
    </row>
    <row r="330" spans="4:4" s="9" customFormat="1" ht="18" customHeight="1">
      <c r="D330" s="25"/>
    </row>
    <row r="331" spans="4:4" s="9" customFormat="1" ht="18" customHeight="1">
      <c r="D331" s="25"/>
    </row>
    <row r="332" spans="4:4" s="9" customFormat="1" ht="18" customHeight="1">
      <c r="D332" s="25"/>
    </row>
    <row r="333" spans="4:4" s="9" customFormat="1" ht="18" customHeight="1">
      <c r="D333" s="25"/>
    </row>
    <row r="334" spans="4:4" s="9" customFormat="1" ht="18" customHeight="1">
      <c r="D334" s="25"/>
    </row>
    <row r="335" spans="4:4" s="9" customFormat="1" ht="18" customHeight="1">
      <c r="D335" s="25"/>
    </row>
    <row r="336" spans="4:4" s="9" customFormat="1" ht="18" customHeight="1">
      <c r="D336" s="25"/>
    </row>
    <row r="337" spans="4:4" s="9" customFormat="1" ht="18" customHeight="1">
      <c r="D337" s="25"/>
    </row>
    <row r="338" spans="4:4" s="9" customFormat="1" ht="18" customHeight="1">
      <c r="D338" s="25"/>
    </row>
    <row r="339" spans="4:4" s="9" customFormat="1" ht="18" customHeight="1">
      <c r="D339" s="25"/>
    </row>
    <row r="340" spans="4:4" s="9" customFormat="1" ht="18" customHeight="1">
      <c r="D340" s="25"/>
    </row>
    <row r="341" spans="4:4" s="9" customFormat="1" ht="18" customHeight="1">
      <c r="D341" s="25"/>
    </row>
    <row r="342" spans="4:4" s="9" customFormat="1" ht="18" customHeight="1">
      <c r="D342" s="25"/>
    </row>
    <row r="343" spans="4:4" s="9" customFormat="1" ht="18" customHeight="1">
      <c r="D343" s="25"/>
    </row>
    <row r="344" spans="4:4" s="9" customFormat="1" ht="18" customHeight="1">
      <c r="D344" s="25"/>
    </row>
    <row r="345" spans="4:4" s="9" customFormat="1" ht="18" customHeight="1">
      <c r="D345" s="25"/>
    </row>
    <row r="346" spans="4:4" s="9" customFormat="1" ht="18" customHeight="1">
      <c r="D346" s="25"/>
    </row>
    <row r="347" spans="4:4" s="9" customFormat="1" ht="18" customHeight="1">
      <c r="D347" s="25"/>
    </row>
    <row r="348" spans="4:4" s="9" customFormat="1" ht="18" customHeight="1">
      <c r="D348" s="25"/>
    </row>
    <row r="349" spans="4:4" s="9" customFormat="1" ht="18" customHeight="1">
      <c r="D349" s="25"/>
    </row>
    <row r="350" spans="4:4" s="9" customFormat="1" ht="18" customHeight="1">
      <c r="D350" s="25"/>
    </row>
    <row r="351" spans="4:4" s="9" customFormat="1" ht="18" customHeight="1">
      <c r="D351" s="25"/>
    </row>
    <row r="352" spans="4:4" s="9" customFormat="1" ht="18" customHeight="1">
      <c r="D352" s="25"/>
    </row>
    <row r="353" spans="4:4" s="9" customFormat="1" ht="18" customHeight="1">
      <c r="D353" s="25"/>
    </row>
    <row r="354" spans="4:4" s="9" customFormat="1" ht="18" customHeight="1">
      <c r="D354" s="25"/>
    </row>
    <row r="355" spans="4:4" s="9" customFormat="1" ht="18" customHeight="1">
      <c r="D355" s="25"/>
    </row>
    <row r="356" spans="4:4" s="9" customFormat="1" ht="18" customHeight="1">
      <c r="D356" s="25"/>
    </row>
    <row r="357" spans="4:4" s="9" customFormat="1" ht="18" customHeight="1">
      <c r="D357" s="25"/>
    </row>
    <row r="358" spans="4:4" s="9" customFormat="1" ht="18" customHeight="1">
      <c r="D358" s="25"/>
    </row>
    <row r="359" spans="4:4" s="9" customFormat="1" ht="18" customHeight="1">
      <c r="D359" s="25"/>
    </row>
    <row r="360" spans="4:4" s="9" customFormat="1" ht="18" customHeight="1">
      <c r="D360" s="25"/>
    </row>
    <row r="361" spans="4:4" s="9" customFormat="1" ht="18" customHeight="1">
      <c r="D361" s="25"/>
    </row>
    <row r="362" spans="4:4" s="9" customFormat="1" ht="18" customHeight="1">
      <c r="D362" s="25"/>
    </row>
    <row r="363" spans="4:4" s="9" customFormat="1" ht="18" customHeight="1">
      <c r="D363" s="25"/>
    </row>
    <row r="364" spans="4:4" s="9" customFormat="1" ht="18" customHeight="1">
      <c r="D364" s="25"/>
    </row>
    <row r="365" spans="4:4" s="9" customFormat="1" ht="18" customHeight="1">
      <c r="D365" s="25"/>
    </row>
    <row r="366" spans="4:4" s="9" customFormat="1" ht="18" customHeight="1">
      <c r="D366" s="25"/>
    </row>
    <row r="367" spans="4:4" s="9" customFormat="1" ht="18" customHeight="1">
      <c r="D367" s="25"/>
    </row>
    <row r="368" spans="4:4" s="9" customFormat="1" ht="18" customHeight="1">
      <c r="D368" s="25"/>
    </row>
    <row r="369" spans="4:4" s="9" customFormat="1" ht="18" customHeight="1">
      <c r="D369" s="25"/>
    </row>
    <row r="370" spans="4:4" s="9" customFormat="1" ht="18" customHeight="1">
      <c r="D370" s="25"/>
    </row>
    <row r="371" spans="4:4" s="9" customFormat="1" ht="18" customHeight="1">
      <c r="D371" s="25"/>
    </row>
    <row r="372" spans="4:4" s="9" customFormat="1" ht="18" customHeight="1">
      <c r="D372" s="25"/>
    </row>
    <row r="373" spans="4:4" s="9" customFormat="1" ht="18" customHeight="1">
      <c r="D373" s="25"/>
    </row>
    <row r="374" spans="4:4" s="9" customFormat="1" ht="18" customHeight="1">
      <c r="D374" s="25"/>
    </row>
    <row r="375" spans="4:4" s="9" customFormat="1" ht="18" customHeight="1">
      <c r="D375" s="25"/>
    </row>
    <row r="376" spans="4:4" s="9" customFormat="1" ht="18" customHeight="1">
      <c r="D376" s="25"/>
    </row>
    <row r="377" spans="4:4" s="9" customFormat="1" ht="18" customHeight="1">
      <c r="D377" s="25"/>
    </row>
    <row r="378" spans="4:4" s="9" customFormat="1" ht="18" customHeight="1">
      <c r="D378" s="25"/>
    </row>
    <row r="379" spans="4:4" s="9" customFormat="1" ht="18" customHeight="1">
      <c r="D379" s="25"/>
    </row>
    <row r="380" spans="4:4" s="9" customFormat="1" ht="18" customHeight="1">
      <c r="D380" s="25"/>
    </row>
    <row r="381" spans="4:4" s="9" customFormat="1" ht="18" customHeight="1">
      <c r="D381" s="25"/>
    </row>
    <row r="382" spans="4:4" s="9" customFormat="1" ht="18" customHeight="1">
      <c r="D382" s="25"/>
    </row>
    <row r="383" spans="4:4" s="9" customFormat="1" ht="18" customHeight="1">
      <c r="D383" s="25"/>
    </row>
    <row r="384" spans="4:4" s="9" customFormat="1" ht="18" customHeight="1">
      <c r="D384" s="25"/>
    </row>
    <row r="385" spans="4:4" s="9" customFormat="1" ht="18" customHeight="1">
      <c r="D385" s="25"/>
    </row>
    <row r="386" spans="4:4" s="9" customFormat="1" ht="18" customHeight="1">
      <c r="D386" s="25"/>
    </row>
    <row r="387" spans="4:4" s="9" customFormat="1" ht="18" customHeight="1">
      <c r="D387" s="25"/>
    </row>
    <row r="388" spans="4:4" s="9" customFormat="1" ht="18" customHeight="1">
      <c r="D388" s="25"/>
    </row>
    <row r="389" spans="4:4" s="9" customFormat="1" ht="18" customHeight="1">
      <c r="D389" s="25"/>
    </row>
    <row r="390" spans="4:4" s="9" customFormat="1" ht="18" customHeight="1">
      <c r="D390" s="25"/>
    </row>
    <row r="391" spans="4:4" s="9" customFormat="1" ht="18" customHeight="1">
      <c r="D391" s="25"/>
    </row>
    <row r="392" spans="4:4" s="9" customFormat="1" ht="18" customHeight="1">
      <c r="D392" s="25"/>
    </row>
    <row r="393" spans="4:4" s="9" customFormat="1" ht="18" customHeight="1">
      <c r="D393" s="25"/>
    </row>
    <row r="394" spans="4:4" s="9" customFormat="1" ht="18" customHeight="1">
      <c r="D394" s="25"/>
    </row>
    <row r="395" spans="4:4" s="9" customFormat="1" ht="18" customHeight="1">
      <c r="D395" s="25"/>
    </row>
    <row r="396" spans="4:4" s="9" customFormat="1" ht="18" customHeight="1">
      <c r="D396" s="25"/>
    </row>
    <row r="397" spans="4:4" s="9" customFormat="1" ht="18" customHeight="1">
      <c r="D397" s="25"/>
    </row>
    <row r="398" spans="4:4" s="9" customFormat="1" ht="18" customHeight="1">
      <c r="D398" s="25"/>
    </row>
    <row r="399" spans="4:4" s="9" customFormat="1" ht="18" customHeight="1">
      <c r="D399" s="25"/>
    </row>
    <row r="400" spans="4:4" s="9" customFormat="1" ht="18" customHeight="1">
      <c r="D400" s="25"/>
    </row>
    <row r="401" spans="4:4" s="9" customFormat="1" ht="18" customHeight="1">
      <c r="D401" s="25"/>
    </row>
    <row r="402" spans="4:4" s="9" customFormat="1" ht="18" customHeight="1">
      <c r="D402" s="25"/>
    </row>
    <row r="403" spans="4:4" s="9" customFormat="1" ht="18" customHeight="1">
      <c r="D403" s="25"/>
    </row>
    <row r="404" spans="4:4" s="9" customFormat="1" ht="18" customHeight="1">
      <c r="D404" s="25"/>
    </row>
    <row r="405" spans="4:4" s="9" customFormat="1" ht="18" customHeight="1">
      <c r="D405" s="25"/>
    </row>
    <row r="406" spans="4:4" s="9" customFormat="1" ht="18" customHeight="1">
      <c r="D406" s="25"/>
    </row>
    <row r="407" spans="4:4" s="9" customFormat="1" ht="18" customHeight="1">
      <c r="D407" s="25"/>
    </row>
    <row r="408" spans="4:4" s="9" customFormat="1" ht="18" customHeight="1">
      <c r="D408" s="25"/>
    </row>
    <row r="409" spans="4:4" s="9" customFormat="1" ht="18" customHeight="1">
      <c r="D409" s="25"/>
    </row>
    <row r="410" spans="4:4" s="9" customFormat="1" ht="18" customHeight="1">
      <c r="D410" s="25"/>
    </row>
    <row r="411" spans="4:4" s="9" customFormat="1" ht="18" customHeight="1">
      <c r="D411" s="25"/>
    </row>
    <row r="412" spans="4:4" s="9" customFormat="1" ht="18" customHeight="1">
      <c r="D412" s="25"/>
    </row>
    <row r="413" spans="4:4" s="9" customFormat="1" ht="18" customHeight="1">
      <c r="D413" s="25"/>
    </row>
    <row r="414" spans="4:4" s="9" customFormat="1" ht="18" customHeight="1">
      <c r="D414" s="25"/>
    </row>
    <row r="415" spans="4:4" s="9" customFormat="1" ht="18" customHeight="1">
      <c r="D415" s="25"/>
    </row>
    <row r="416" spans="4:4" s="9" customFormat="1" ht="18" customHeight="1">
      <c r="D416" s="25"/>
    </row>
    <row r="417" spans="4:4" s="9" customFormat="1" ht="18" customHeight="1">
      <c r="D417" s="25"/>
    </row>
    <row r="418" spans="4:4" s="9" customFormat="1" ht="18" customHeight="1">
      <c r="D418" s="25"/>
    </row>
    <row r="419" spans="4:4" s="9" customFormat="1" ht="18" customHeight="1">
      <c r="D419" s="25"/>
    </row>
    <row r="420" spans="4:4" s="9" customFormat="1" ht="18" customHeight="1">
      <c r="D420" s="25"/>
    </row>
    <row r="421" spans="4:4" s="9" customFormat="1" ht="18" customHeight="1">
      <c r="D421" s="25"/>
    </row>
    <row r="422" spans="4:4" s="9" customFormat="1" ht="18" customHeight="1">
      <c r="D422" s="25"/>
    </row>
    <row r="423" spans="4:4" s="9" customFormat="1" ht="18" customHeight="1">
      <c r="D423" s="25"/>
    </row>
    <row r="424" spans="4:4" s="9" customFormat="1" ht="18" customHeight="1">
      <c r="D424" s="25"/>
    </row>
    <row r="425" spans="4:4" s="9" customFormat="1" ht="18" customHeight="1">
      <c r="D425" s="25"/>
    </row>
    <row r="426" spans="4:4" s="9" customFormat="1" ht="18" customHeight="1">
      <c r="D426" s="25"/>
    </row>
    <row r="427" spans="4:4" s="9" customFormat="1" ht="18" customHeight="1">
      <c r="D427" s="25"/>
    </row>
    <row r="428" spans="4:4" s="9" customFormat="1" ht="18" customHeight="1">
      <c r="D428" s="25"/>
    </row>
    <row r="429" spans="4:4" s="9" customFormat="1" ht="18" customHeight="1">
      <c r="D429" s="25"/>
    </row>
    <row r="430" spans="4:4" s="9" customFormat="1" ht="18" customHeight="1">
      <c r="D430" s="25"/>
    </row>
    <row r="431" spans="4:4" s="9" customFormat="1" ht="18" customHeight="1">
      <c r="D431" s="25"/>
    </row>
    <row r="432" spans="4:4" s="9" customFormat="1" ht="18" customHeight="1">
      <c r="D432" s="25"/>
    </row>
    <row r="433" spans="4:4" s="9" customFormat="1" ht="18" customHeight="1">
      <c r="D433" s="25"/>
    </row>
    <row r="434" spans="4:4" s="9" customFormat="1" ht="18" customHeight="1">
      <c r="D434" s="25"/>
    </row>
    <row r="435" spans="4:4" s="9" customFormat="1" ht="18" customHeight="1">
      <c r="D435" s="25"/>
    </row>
    <row r="436" spans="4:4" s="9" customFormat="1" ht="18" customHeight="1">
      <c r="D436" s="25"/>
    </row>
    <row r="437" spans="4:4" s="9" customFormat="1" ht="18" customHeight="1">
      <c r="D437" s="25"/>
    </row>
    <row r="438" spans="4:4" s="9" customFormat="1" ht="18" customHeight="1">
      <c r="D438" s="25"/>
    </row>
    <row r="439" spans="4:4" s="9" customFormat="1" ht="18" customHeight="1">
      <c r="D439" s="25"/>
    </row>
    <row r="440" spans="4:4" s="9" customFormat="1" ht="18" customHeight="1">
      <c r="D440" s="25"/>
    </row>
    <row r="441" spans="4:4" s="9" customFormat="1" ht="18" customHeight="1">
      <c r="D441" s="25"/>
    </row>
    <row r="442" spans="4:4" s="9" customFormat="1" ht="18" customHeight="1">
      <c r="D442" s="25"/>
    </row>
    <row r="443" spans="4:4" s="9" customFormat="1" ht="18" customHeight="1">
      <c r="D443" s="25"/>
    </row>
    <row r="444" spans="4:4" s="9" customFormat="1" ht="18" customHeight="1">
      <c r="D444" s="25"/>
    </row>
    <row r="445" spans="4:4" s="9" customFormat="1" ht="18" customHeight="1">
      <c r="D445" s="25"/>
    </row>
    <row r="446" spans="4:4" s="9" customFormat="1" ht="18" customHeight="1">
      <c r="D446" s="25"/>
    </row>
    <row r="447" spans="4:4" s="9" customFormat="1" ht="18" customHeight="1">
      <c r="D447" s="25"/>
    </row>
    <row r="448" spans="4:4" s="9" customFormat="1" ht="18" customHeight="1">
      <c r="D448" s="25"/>
    </row>
    <row r="449" spans="4:4" s="9" customFormat="1" ht="18" customHeight="1">
      <c r="D449" s="25"/>
    </row>
    <row r="450" spans="4:4" s="9" customFormat="1" ht="18" customHeight="1">
      <c r="D450" s="25"/>
    </row>
    <row r="451" spans="4:4" s="9" customFormat="1" ht="18" customHeight="1">
      <c r="D451" s="25"/>
    </row>
    <row r="452" spans="4:4" s="9" customFormat="1" ht="18" customHeight="1">
      <c r="D452" s="25"/>
    </row>
    <row r="453" spans="4:4" s="9" customFormat="1" ht="18" customHeight="1">
      <c r="D453" s="25"/>
    </row>
    <row r="454" spans="4:4" s="9" customFormat="1" ht="18" customHeight="1">
      <c r="D454" s="25"/>
    </row>
    <row r="455" spans="4:4" s="9" customFormat="1" ht="18" customHeight="1">
      <c r="D455" s="25"/>
    </row>
    <row r="456" spans="4:4" s="9" customFormat="1" ht="18" customHeight="1">
      <c r="D456" s="25"/>
    </row>
    <row r="457" spans="4:4" s="9" customFormat="1" ht="18" customHeight="1">
      <c r="D457" s="25"/>
    </row>
    <row r="458" spans="4:4" s="9" customFormat="1" ht="18" customHeight="1">
      <c r="D458" s="25"/>
    </row>
    <row r="459" spans="4:4" s="9" customFormat="1" ht="18" customHeight="1">
      <c r="D459" s="25"/>
    </row>
    <row r="460" spans="4:4" s="9" customFormat="1" ht="18" customHeight="1">
      <c r="D460" s="25"/>
    </row>
    <row r="461" spans="4:4" s="9" customFormat="1" ht="18" customHeight="1">
      <c r="D461" s="25"/>
    </row>
    <row r="462" spans="4:4" s="9" customFormat="1" ht="18" customHeight="1">
      <c r="D462" s="25"/>
    </row>
    <row r="463" spans="4:4" s="9" customFormat="1" ht="18" customHeight="1">
      <c r="D463" s="25"/>
    </row>
    <row r="464" spans="4:4" s="9" customFormat="1" ht="18" customHeight="1">
      <c r="D464" s="25"/>
    </row>
    <row r="465" spans="4:4" s="9" customFormat="1" ht="18" customHeight="1">
      <c r="D465" s="25"/>
    </row>
    <row r="466" spans="4:4" s="9" customFormat="1" ht="18" customHeight="1">
      <c r="D466" s="25"/>
    </row>
    <row r="467" spans="4:4" s="9" customFormat="1" ht="18" customHeight="1">
      <c r="D467" s="25"/>
    </row>
    <row r="468" spans="4:4" s="9" customFormat="1" ht="18" customHeight="1">
      <c r="D468" s="25"/>
    </row>
    <row r="469" spans="4:4" s="9" customFormat="1" ht="18" customHeight="1">
      <c r="D469" s="25"/>
    </row>
    <row r="470" spans="4:4" s="9" customFormat="1" ht="18" customHeight="1">
      <c r="D470" s="25"/>
    </row>
    <row r="471" spans="4:4" s="9" customFormat="1" ht="18" customHeight="1">
      <c r="D471" s="25"/>
    </row>
    <row r="472" spans="4:4" s="9" customFormat="1" ht="18" customHeight="1">
      <c r="D472" s="25"/>
    </row>
    <row r="473" spans="4:4" s="9" customFormat="1" ht="18" customHeight="1">
      <c r="D473" s="25"/>
    </row>
    <row r="474" spans="4:4" s="9" customFormat="1" ht="18" customHeight="1">
      <c r="D474" s="25"/>
    </row>
    <row r="475" spans="4:4" s="9" customFormat="1" ht="18" customHeight="1">
      <c r="D475" s="25"/>
    </row>
    <row r="476" spans="4:4" s="9" customFormat="1" ht="18" customHeight="1">
      <c r="D476" s="25"/>
    </row>
    <row r="477" spans="4:4" s="9" customFormat="1" ht="18" customHeight="1">
      <c r="D477" s="25"/>
    </row>
    <row r="478" spans="4:4" s="9" customFormat="1" ht="18" customHeight="1">
      <c r="D478" s="25"/>
    </row>
    <row r="479" spans="4:4" s="9" customFormat="1" ht="18" customHeight="1">
      <c r="D479" s="25"/>
    </row>
    <row r="480" spans="4:4" s="9" customFormat="1" ht="18" customHeight="1">
      <c r="D480" s="25"/>
    </row>
    <row r="481" spans="4:4" s="9" customFormat="1" ht="18" customHeight="1">
      <c r="D481" s="25"/>
    </row>
    <row r="482" spans="4:4" s="9" customFormat="1" ht="18" customHeight="1">
      <c r="D482" s="25"/>
    </row>
    <row r="483" spans="4:4" s="9" customFormat="1" ht="18" customHeight="1">
      <c r="D483" s="25"/>
    </row>
    <row r="484" spans="4:4" s="9" customFormat="1" ht="18" customHeight="1">
      <c r="D484" s="25"/>
    </row>
    <row r="485" spans="4:4" s="9" customFormat="1" ht="18" customHeight="1">
      <c r="D485" s="25"/>
    </row>
    <row r="486" spans="4:4" s="9" customFormat="1" ht="18" customHeight="1">
      <c r="D486" s="25"/>
    </row>
    <row r="487" spans="4:4" s="9" customFormat="1" ht="18" customHeight="1">
      <c r="D487" s="25"/>
    </row>
    <row r="488" spans="4:4" s="9" customFormat="1" ht="18" customHeight="1">
      <c r="D488" s="25"/>
    </row>
    <row r="489" spans="4:4" s="9" customFormat="1" ht="18" customHeight="1">
      <c r="D489" s="25"/>
    </row>
    <row r="490" spans="4:4" s="9" customFormat="1" ht="18" customHeight="1">
      <c r="D490" s="25"/>
    </row>
    <row r="491" spans="4:4" s="9" customFormat="1" ht="18" customHeight="1">
      <c r="D491" s="25"/>
    </row>
    <row r="492" spans="4:4" s="9" customFormat="1" ht="18" customHeight="1">
      <c r="D492" s="25"/>
    </row>
    <row r="493" spans="4:4" s="9" customFormat="1" ht="18" customHeight="1">
      <c r="D493" s="25"/>
    </row>
    <row r="494" spans="4:4" s="9" customFormat="1" ht="18" customHeight="1">
      <c r="D494" s="25"/>
    </row>
    <row r="495" spans="4:4" s="9" customFormat="1" ht="18" customHeight="1">
      <c r="D495" s="25"/>
    </row>
    <row r="496" spans="4:4" s="9" customFormat="1" ht="18" customHeight="1">
      <c r="D496" s="25"/>
    </row>
    <row r="497" spans="4:4" s="9" customFormat="1" ht="18" customHeight="1">
      <c r="D497" s="25"/>
    </row>
    <row r="498" spans="4:4" s="9" customFormat="1" ht="18" customHeight="1">
      <c r="D498" s="25"/>
    </row>
    <row r="499" spans="4:4" s="9" customFormat="1" ht="18" customHeight="1">
      <c r="D499" s="25"/>
    </row>
    <row r="500" spans="4:4" s="9" customFormat="1" ht="18" customHeight="1">
      <c r="D500" s="25"/>
    </row>
    <row r="501" spans="4:4" s="9" customFormat="1" ht="18" customHeight="1">
      <c r="D501" s="25"/>
    </row>
    <row r="502" spans="4:4" s="9" customFormat="1" ht="18" customHeight="1">
      <c r="D502" s="25"/>
    </row>
    <row r="503" spans="4:4" s="9" customFormat="1" ht="18" customHeight="1">
      <c r="D503" s="25"/>
    </row>
    <row r="504" spans="4:4" s="9" customFormat="1" ht="18" customHeight="1">
      <c r="D504" s="25"/>
    </row>
    <row r="505" spans="4:4" s="9" customFormat="1" ht="18" customHeight="1">
      <c r="D505" s="25"/>
    </row>
    <row r="506" spans="4:4" s="9" customFormat="1" ht="18" customHeight="1">
      <c r="D506" s="25"/>
    </row>
    <row r="507" spans="4:4" s="9" customFormat="1" ht="18" customHeight="1">
      <c r="D507" s="25"/>
    </row>
    <row r="508" spans="4:4" s="9" customFormat="1" ht="18" customHeight="1">
      <c r="D508" s="25"/>
    </row>
    <row r="509" spans="4:4" s="9" customFormat="1" ht="18" customHeight="1">
      <c r="D509" s="25"/>
    </row>
    <row r="510" spans="4:4" s="9" customFormat="1" ht="18" customHeight="1">
      <c r="D510" s="25"/>
    </row>
    <row r="511" spans="4:4" s="9" customFormat="1" ht="18" customHeight="1">
      <c r="D511" s="25"/>
    </row>
    <row r="512" spans="4:4" s="9" customFormat="1" ht="18" customHeight="1">
      <c r="D512" s="25"/>
    </row>
    <row r="513" spans="4:4" s="9" customFormat="1" ht="18" customHeight="1">
      <c r="D513" s="25"/>
    </row>
    <row r="514" spans="4:4" s="9" customFormat="1" ht="18" customHeight="1">
      <c r="D514" s="25"/>
    </row>
    <row r="515" spans="4:4" s="9" customFormat="1" ht="18" customHeight="1">
      <c r="D515" s="25"/>
    </row>
    <row r="516" spans="4:4" s="9" customFormat="1" ht="18" customHeight="1">
      <c r="D516" s="25"/>
    </row>
    <row r="517" spans="4:4" s="9" customFormat="1" ht="18" customHeight="1">
      <c r="D517" s="25"/>
    </row>
    <row r="518" spans="4:4" s="9" customFormat="1" ht="18" customHeight="1">
      <c r="D518" s="25"/>
    </row>
    <row r="519" spans="4:4" s="9" customFormat="1" ht="18" customHeight="1">
      <c r="D519" s="25"/>
    </row>
    <row r="520" spans="4:4" s="9" customFormat="1" ht="18" customHeight="1">
      <c r="D520" s="25"/>
    </row>
    <row r="521" spans="4:4" s="9" customFormat="1" ht="18" customHeight="1">
      <c r="D521" s="25"/>
    </row>
    <row r="522" spans="4:4" s="9" customFormat="1" ht="18" customHeight="1">
      <c r="D522" s="25"/>
    </row>
    <row r="523" spans="4:4" s="9" customFormat="1" ht="18" customHeight="1">
      <c r="D523" s="25"/>
    </row>
    <row r="524" spans="4:4" s="9" customFormat="1" ht="18" customHeight="1">
      <c r="D524" s="25"/>
    </row>
    <row r="525" spans="4:4" s="9" customFormat="1" ht="18" customHeight="1">
      <c r="D525" s="25"/>
    </row>
    <row r="526" spans="4:4" s="9" customFormat="1" ht="18" customHeight="1">
      <c r="D526" s="25"/>
    </row>
    <row r="527" spans="4:4" s="9" customFormat="1" ht="18" customHeight="1">
      <c r="D527" s="25"/>
    </row>
    <row r="528" spans="4:4" s="9" customFormat="1" ht="18" customHeight="1">
      <c r="D528" s="25"/>
    </row>
    <row r="529" spans="4:4" s="9" customFormat="1" ht="18" customHeight="1">
      <c r="D529" s="25"/>
    </row>
    <row r="530" spans="4:4" s="9" customFormat="1" ht="18" customHeight="1">
      <c r="D530" s="25"/>
    </row>
    <row r="531" spans="4:4" s="9" customFormat="1" ht="18" customHeight="1">
      <c r="D531" s="25"/>
    </row>
    <row r="532" spans="4:4" s="9" customFormat="1" ht="18" customHeight="1">
      <c r="D532" s="25"/>
    </row>
    <row r="533" spans="4:4" s="9" customFormat="1" ht="18" customHeight="1">
      <c r="D533" s="25"/>
    </row>
    <row r="534" spans="4:4" s="9" customFormat="1" ht="18" customHeight="1">
      <c r="D534" s="25"/>
    </row>
    <row r="535" spans="4:4" s="9" customFormat="1" ht="18" customHeight="1">
      <c r="D535" s="25"/>
    </row>
    <row r="536" spans="4:4" s="9" customFormat="1" ht="18" customHeight="1">
      <c r="D536" s="25"/>
    </row>
    <row r="537" spans="4:4" s="9" customFormat="1" ht="18" customHeight="1">
      <c r="D537" s="25"/>
    </row>
    <row r="538" spans="4:4" s="9" customFormat="1" ht="18" customHeight="1">
      <c r="D538" s="25"/>
    </row>
    <row r="539" spans="4:4" s="9" customFormat="1" ht="18" customHeight="1">
      <c r="D539" s="25"/>
    </row>
    <row r="540" spans="4:4" s="9" customFormat="1" ht="18" customHeight="1">
      <c r="D540" s="25"/>
    </row>
    <row r="541" spans="4:4" s="9" customFormat="1" ht="18" customHeight="1">
      <c r="D541" s="25"/>
    </row>
    <row r="542" spans="4:4" s="9" customFormat="1" ht="18" customHeight="1">
      <c r="D542" s="25"/>
    </row>
    <row r="543" spans="4:4" s="9" customFormat="1" ht="18" customHeight="1">
      <c r="D543" s="25"/>
    </row>
    <row r="544" spans="4:4" s="9" customFormat="1" ht="18" customHeight="1">
      <c r="D544" s="25"/>
    </row>
    <row r="545" spans="4:4" s="9" customFormat="1" ht="18" customHeight="1">
      <c r="D545" s="25"/>
    </row>
    <row r="546" spans="4:4" s="9" customFormat="1" ht="18" customHeight="1">
      <c r="D546" s="25"/>
    </row>
    <row r="547" spans="4:4" s="9" customFormat="1" ht="18" customHeight="1">
      <c r="D547" s="25"/>
    </row>
    <row r="548" spans="4:4" s="9" customFormat="1" ht="18" customHeight="1">
      <c r="D548" s="25"/>
    </row>
    <row r="549" spans="4:4" s="9" customFormat="1" ht="18" customHeight="1">
      <c r="D549" s="25"/>
    </row>
    <row r="550" spans="4:4" s="9" customFormat="1" ht="18" customHeight="1">
      <c r="D550" s="25"/>
    </row>
    <row r="551" spans="4:4" s="9" customFormat="1" ht="18" customHeight="1">
      <c r="D551" s="25"/>
    </row>
    <row r="552" spans="4:4" s="9" customFormat="1" ht="18" customHeight="1">
      <c r="D552" s="25"/>
    </row>
    <row r="553" spans="4:4" s="9" customFormat="1" ht="18" customHeight="1">
      <c r="D553" s="25"/>
    </row>
    <row r="554" spans="4:4" s="9" customFormat="1" ht="18" customHeight="1">
      <c r="D554" s="25"/>
    </row>
    <row r="555" spans="4:4" s="9" customFormat="1" ht="18" customHeight="1">
      <c r="D555" s="25"/>
    </row>
    <row r="556" spans="4:4" s="9" customFormat="1" ht="18" customHeight="1">
      <c r="D556" s="25"/>
    </row>
    <row r="557" spans="4:4" s="9" customFormat="1" ht="18" customHeight="1">
      <c r="D557" s="25"/>
    </row>
    <row r="558" spans="4:4" s="9" customFormat="1" ht="18" customHeight="1">
      <c r="D558" s="25"/>
    </row>
    <row r="559" spans="4:4" s="9" customFormat="1" ht="18" customHeight="1">
      <c r="D559" s="25"/>
    </row>
    <row r="560" spans="4:4" s="9" customFormat="1" ht="18" customHeight="1">
      <c r="D560" s="25"/>
    </row>
    <row r="561" spans="4:4" s="9" customFormat="1" ht="18" customHeight="1">
      <c r="D561" s="25"/>
    </row>
    <row r="562" spans="4:4" s="9" customFormat="1" ht="18" customHeight="1">
      <c r="D562" s="25"/>
    </row>
    <row r="563" spans="4:4" s="9" customFormat="1" ht="18" customHeight="1">
      <c r="D563" s="25"/>
    </row>
    <row r="564" spans="4:4" s="9" customFormat="1" ht="18" customHeight="1">
      <c r="D564" s="25"/>
    </row>
    <row r="565" spans="4:4" s="9" customFormat="1" ht="18" customHeight="1">
      <c r="D565" s="25"/>
    </row>
    <row r="566" spans="4:4" s="9" customFormat="1" ht="18" customHeight="1">
      <c r="D566" s="25"/>
    </row>
    <row r="567" spans="4:4" s="9" customFormat="1" ht="18" customHeight="1">
      <c r="D567" s="25"/>
    </row>
    <row r="568" spans="4:4" s="9" customFormat="1" ht="18" customHeight="1">
      <c r="D568" s="25"/>
    </row>
    <row r="569" spans="4:4" s="9" customFormat="1" ht="18" customHeight="1">
      <c r="D569" s="25"/>
    </row>
    <row r="570" spans="4:4" s="9" customFormat="1" ht="18" customHeight="1">
      <c r="D570" s="25"/>
    </row>
    <row r="571" spans="4:4" s="9" customFormat="1" ht="18" customHeight="1">
      <c r="D571" s="25"/>
    </row>
    <row r="572" spans="4:4" s="9" customFormat="1" ht="18" customHeight="1">
      <c r="D572" s="25"/>
    </row>
    <row r="573" spans="4:4" s="9" customFormat="1" ht="18" customHeight="1">
      <c r="D573" s="25"/>
    </row>
    <row r="574" spans="4:4" s="9" customFormat="1" ht="18" customHeight="1">
      <c r="D574" s="25"/>
    </row>
    <row r="575" spans="4:4" s="9" customFormat="1" ht="18" customHeight="1">
      <c r="D575" s="25"/>
    </row>
    <row r="576" spans="4:4" s="9" customFormat="1" ht="18" customHeight="1">
      <c r="D576" s="25"/>
    </row>
    <row r="577" spans="4:4" s="9" customFormat="1" ht="18" customHeight="1">
      <c r="D577" s="25"/>
    </row>
    <row r="578" spans="4:4" s="9" customFormat="1" ht="18" customHeight="1">
      <c r="D578" s="25"/>
    </row>
  </sheetData>
  <autoFilter ref="B4:R80">
    <filterColumn colId="6"/>
    <filterColumn colId="13"/>
    <filterColumn colId="15"/>
  </autoFilter>
  <mergeCells count="13">
    <mergeCell ref="B69:H69"/>
    <mergeCell ref="B80:H80"/>
    <mergeCell ref="B2:R2"/>
    <mergeCell ref="B20:H20"/>
    <mergeCell ref="B50:H50"/>
    <mergeCell ref="B29:H29"/>
    <mergeCell ref="B33:H33"/>
    <mergeCell ref="B40:H40"/>
    <mergeCell ref="B44:H44"/>
    <mergeCell ref="B47:H47"/>
    <mergeCell ref="B66:H66"/>
    <mergeCell ref="B76:H76"/>
    <mergeCell ref="B24:H24"/>
  </mergeCells>
  <phoneticPr fontId="6" type="noConversion"/>
  <conditionalFormatting sqref="D579:D1048576 D66 D47 D44 D40 D33 D29 D24 D20 D1:D2">
    <cfRule type="cellIs" dxfId="32" priority="45304" operator="lessThan">
      <formula>42887</formula>
    </cfRule>
    <cfRule type="cellIs" dxfId="31" priority="45305" operator="greaterThan">
      <formula>42887</formula>
    </cfRule>
    <cfRule type="timePeriod" dxfId="30" priority="45306" timePeriod="thisMonth">
      <formula>AND(MONTH(D1)=MONTH(TODAY()),YEAR(D1)=YEAR(TODAY()))</formula>
    </cfRule>
  </conditionalFormatting>
  <conditionalFormatting sqref="O77:Q78 O67:Q67 O48:Q48 P12:P19 P21:Q27 O5:Q18 O21:P22 O25:P27 O30:Q31 O34:Q38 O41:Q42 O45:Q45 O51:Q64 O70:Q74">
    <cfRule type="cellIs" dxfId="29" priority="45295" operator="between">
      <formula>150</formula>
      <formula>170</formula>
    </cfRule>
    <cfRule type="cellIs" dxfId="28" priority="45296" operator="lessThan">
      <formula>150</formula>
    </cfRule>
    <cfRule type="cellIs" dxfId="27" priority="45297" operator="greaterThan">
      <formula>170</formula>
    </cfRule>
    <cfRule type="cellIs" dxfId="26" priority="45298" stopIfTrue="1" operator="between">
      <formula>150</formula>
      <formula>170</formula>
    </cfRule>
    <cfRule type="cellIs" dxfId="25" priority="45299" stopIfTrue="1" operator="lessThan">
      <formula>150</formula>
    </cfRule>
    <cfRule type="cellIs" dxfId="24" priority="45300" stopIfTrue="1" operator="greaterThan">
      <formula>170</formula>
    </cfRule>
  </conditionalFormatting>
  <conditionalFormatting sqref="O77:Q78 O67:Q67 O48:Q48 P12:P19 P21:Q27 O5:Q18 O21:P22 O25:P27 O30:Q31 O34:Q38 O41:Q42 O45:Q45 O51:Q64 O70:Q74">
    <cfRule type="cellIs" dxfId="23" priority="45292" operator="between">
      <formula>150</formula>
      <formula>170</formula>
    </cfRule>
    <cfRule type="cellIs" dxfId="22" priority="45293" operator="lessThan">
      <formula>150</formula>
    </cfRule>
    <cfRule type="cellIs" dxfId="21" priority="45294" operator="greaterThan">
      <formula>170</formula>
    </cfRule>
  </conditionalFormatting>
  <conditionalFormatting sqref="O77:Q78 O67:Q67 O48:Q48 P12:P19 P21:Q27 O5:Q18 O21:P22 O25:P27 O30:Q31 O34:Q38 O41:Q42 O45:Q45 O51:Q64 O70:Q74">
    <cfRule type="cellIs" dxfId="20" priority="45286" stopIfTrue="1" operator="between">
      <formula>150</formula>
      <formula>170</formula>
    </cfRule>
    <cfRule type="cellIs" dxfId="19" priority="45287" stopIfTrue="1" operator="lessThan">
      <formula>150</formula>
    </cfRule>
    <cfRule type="cellIs" dxfId="18" priority="45288" stopIfTrue="1" operator="greaterThan">
      <formula>170</formula>
    </cfRule>
    <cfRule type="cellIs" dxfId="17" priority="45289" operator="between">
      <formula>150</formula>
      <formula>170</formula>
    </cfRule>
    <cfRule type="cellIs" dxfId="16" priority="45290" operator="lessThan">
      <formula>150</formula>
    </cfRule>
    <cfRule type="cellIs" dxfId="15" priority="45291" operator="greaterThan">
      <formula>170</formula>
    </cfRule>
  </conditionalFormatting>
  <conditionalFormatting sqref="O77:P78">
    <cfRule type="cellIs" dxfId="14" priority="10" operator="between">
      <formula>150</formula>
      <formula>170</formula>
    </cfRule>
    <cfRule type="cellIs" dxfId="13" priority="11" operator="lessThan">
      <formula>150</formula>
    </cfRule>
    <cfRule type="cellIs" dxfId="12" priority="12" operator="greaterThan">
      <formula>170</formula>
    </cfRule>
    <cfRule type="cellIs" dxfId="11" priority="13" stopIfTrue="1" operator="between">
      <formula>150</formula>
      <formula>170</formula>
    </cfRule>
    <cfRule type="cellIs" dxfId="10" priority="14" stopIfTrue="1" operator="lessThan">
      <formula>150</formula>
    </cfRule>
    <cfRule type="cellIs" dxfId="9" priority="15" stopIfTrue="1" operator="greaterThan">
      <formula>170</formula>
    </cfRule>
  </conditionalFormatting>
  <conditionalFormatting sqref="O77:P78">
    <cfRule type="cellIs" dxfId="8" priority="7" operator="between">
      <formula>150</formula>
      <formula>170</formula>
    </cfRule>
    <cfRule type="cellIs" dxfId="7" priority="8" operator="lessThan">
      <formula>150</formula>
    </cfRule>
    <cfRule type="cellIs" dxfId="6" priority="9" operator="greaterThan">
      <formula>170</formula>
    </cfRule>
  </conditionalFormatting>
  <conditionalFormatting sqref="O77:P78">
    <cfRule type="cellIs" dxfId="5" priority="1" stopIfTrue="1" operator="between">
      <formula>150</formula>
      <formula>170</formula>
    </cfRule>
    <cfRule type="cellIs" dxfId="4" priority="2" stopIfTrue="1" operator="lessThan">
      <formula>150</formula>
    </cfRule>
    <cfRule type="cellIs" dxfId="3" priority="3" stopIfTrue="1" operator="greaterThan">
      <formula>170</formula>
    </cfRule>
    <cfRule type="cellIs" dxfId="2" priority="4" operator="between">
      <formula>150</formula>
      <formula>170</formula>
    </cfRule>
    <cfRule type="cellIs" dxfId="1" priority="5" operator="lessThan">
      <formula>150</formula>
    </cfRule>
    <cfRule type="cellIs" dxfId="0" priority="6" operator="greaterThan">
      <formula>170</formula>
    </cfRule>
  </conditionalFormatting>
  <pageMargins left="0.15748031496062992" right="0.15748031496062992" top="0.38" bottom="0.19685039370078741" header="0.4" footer="0.74803149606299213"/>
  <pageSetup scale="28" orientation="landscape" r:id="rId1"/>
  <headerFooter alignWithMargins="0"/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2:R72"/>
  <sheetViews>
    <sheetView tabSelected="1" zoomScaleNormal="100" workbookViewId="0">
      <pane xSplit="2" topLeftCell="C1" activePane="topRight" state="frozen"/>
      <selection activeCell="K21" sqref="K21"/>
      <selection pane="topRight" activeCell="K21" sqref="K21"/>
    </sheetView>
  </sheetViews>
  <sheetFormatPr defaultColWidth="9.140625" defaultRowHeight="15"/>
  <cols>
    <col min="1" max="1" width="1.7109375" style="19" customWidth="1"/>
    <col min="2" max="2" width="23.28515625" style="19" customWidth="1"/>
    <col min="3" max="3" width="11.7109375" style="19" customWidth="1"/>
    <col min="4" max="4" width="14" style="20" bestFit="1" customWidth="1"/>
    <col min="5" max="5" width="14" style="20" customWidth="1"/>
    <col min="6" max="6" width="15.85546875" style="20" customWidth="1"/>
    <col min="7" max="7" width="17.5703125" style="21" customWidth="1"/>
    <col min="8" max="9" width="14.140625" style="22" customWidth="1"/>
    <col min="10" max="10" width="10.42578125" style="22" customWidth="1"/>
    <col min="11" max="11" width="12.85546875" style="22" customWidth="1"/>
    <col min="12" max="12" width="15.42578125" style="19" bestFit="1" customWidth="1"/>
    <col min="13" max="13" width="16.140625" style="19" customWidth="1"/>
    <col min="14" max="14" width="13.5703125" style="19" customWidth="1"/>
    <col min="15" max="16384" width="9.140625" style="19"/>
  </cols>
  <sheetData>
    <row r="2" spans="2:18" s="3" customFormat="1" ht="17.25" customHeight="1">
      <c r="B2" s="218" t="s">
        <v>47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2:18" s="3" customFormat="1" ht="20.25" customHeight="1">
      <c r="B3" s="16"/>
      <c r="C3" s="16"/>
      <c r="D3" s="16"/>
      <c r="E3" s="16"/>
      <c r="G3" s="17"/>
      <c r="H3" s="18"/>
      <c r="I3" s="18"/>
      <c r="J3" s="18"/>
      <c r="K3" s="18"/>
      <c r="L3" s="71">
        <f ca="1">+NOW()</f>
        <v>46270.528471527781</v>
      </c>
    </row>
    <row r="4" spans="2:18" s="3" customFormat="1" ht="15" customHeight="1">
      <c r="B4" s="204" t="s">
        <v>40</v>
      </c>
      <c r="C4" s="199" t="s">
        <v>72</v>
      </c>
      <c r="D4" s="203" t="s">
        <v>75</v>
      </c>
      <c r="E4" s="203" t="s">
        <v>73</v>
      </c>
      <c r="F4" s="203" t="s">
        <v>76</v>
      </c>
      <c r="G4" s="203" t="s">
        <v>2</v>
      </c>
      <c r="H4" s="203" t="s">
        <v>74</v>
      </c>
      <c r="I4" s="199" t="s">
        <v>71</v>
      </c>
      <c r="J4" s="199" t="s">
        <v>64</v>
      </c>
      <c r="K4" s="199" t="s">
        <v>65</v>
      </c>
      <c r="L4" s="203" t="s">
        <v>1</v>
      </c>
      <c r="M4" s="199" t="s">
        <v>131</v>
      </c>
    </row>
    <row r="5" spans="2:18" s="3" customFormat="1" ht="39.75" customHeight="1">
      <c r="B5" s="204"/>
      <c r="C5" s="200"/>
      <c r="D5" s="203"/>
      <c r="E5" s="203"/>
      <c r="F5" s="203"/>
      <c r="G5" s="203"/>
      <c r="H5" s="203"/>
      <c r="I5" s="200"/>
      <c r="J5" s="200"/>
      <c r="K5" s="200"/>
      <c r="L5" s="203"/>
      <c r="M5" s="200"/>
    </row>
    <row r="6" spans="2:18" s="3" customFormat="1" ht="18" customHeight="1">
      <c r="B6" s="5" t="s">
        <v>57</v>
      </c>
      <c r="C6" s="5">
        <v>0</v>
      </c>
      <c r="D6" s="4">
        <v>122900</v>
      </c>
      <c r="E6" s="4">
        <f>F6-D6</f>
        <v>0</v>
      </c>
      <c r="F6" s="5">
        <f>+Receipt!K20</f>
        <v>122900</v>
      </c>
      <c r="G6" s="7">
        <f>+Receipt!R20</f>
        <v>0</v>
      </c>
      <c r="H6" s="4">
        <f>+Receipt!T20</f>
        <v>122900</v>
      </c>
      <c r="I6" s="6">
        <f>G6-C6</f>
        <v>0</v>
      </c>
      <c r="J6" s="83">
        <v>3.4000000000000002E-2</v>
      </c>
      <c r="K6" s="46">
        <f t="shared" ref="K6:K17" si="0">+H6*J6</f>
        <v>4178.6000000000004</v>
      </c>
      <c r="L6" s="11">
        <f>'Type Wise Stock'!M20</f>
        <v>1232687</v>
      </c>
      <c r="M6" s="6">
        <f>E6*J6</f>
        <v>0</v>
      </c>
      <c r="N6" s="69"/>
      <c r="O6" s="69"/>
      <c r="P6" s="69"/>
      <c r="Q6" s="69"/>
      <c r="R6" s="69"/>
    </row>
    <row r="7" spans="2:18" s="3" customFormat="1" ht="18" customHeight="1">
      <c r="B7" s="5" t="s">
        <v>122</v>
      </c>
      <c r="C7" s="5">
        <v>0</v>
      </c>
      <c r="D7" s="4">
        <v>0</v>
      </c>
      <c r="E7" s="4">
        <f>F7-D7</f>
        <v>12000</v>
      </c>
      <c r="F7" s="5">
        <f>+Receipt!K24</f>
        <v>12000</v>
      </c>
      <c r="G7" s="7">
        <f>+Receipt!R24</f>
        <v>0</v>
      </c>
      <c r="H7" s="4">
        <f>+Receipt!T24</f>
        <v>12000</v>
      </c>
      <c r="I7" s="6">
        <f>G7-C7</f>
        <v>0</v>
      </c>
      <c r="J7" s="83">
        <v>3.4000000000000002E-2</v>
      </c>
      <c r="K7" s="46">
        <f t="shared" ref="K7" si="1">+H7*J7</f>
        <v>408.00000000000006</v>
      </c>
      <c r="L7" s="11">
        <f>'Type Wise Stock'!M21</f>
        <v>61380</v>
      </c>
      <c r="M7" s="6">
        <f>E7*J7</f>
        <v>408.00000000000006</v>
      </c>
      <c r="N7" s="69"/>
      <c r="O7" s="69"/>
      <c r="P7" s="69"/>
      <c r="Q7" s="69"/>
      <c r="R7" s="69"/>
    </row>
    <row r="8" spans="2:18" s="3" customFormat="1" ht="18" customHeight="1">
      <c r="B8" s="5" t="s">
        <v>49</v>
      </c>
      <c r="C8" s="5">
        <v>0</v>
      </c>
      <c r="D8" s="4">
        <v>17000</v>
      </c>
      <c r="E8" s="4">
        <f t="shared" ref="E8:E17" si="2">F8-D8</f>
        <v>12000</v>
      </c>
      <c r="F8" s="5">
        <f>+Receipt!K29</f>
        <v>29000</v>
      </c>
      <c r="G8" s="7">
        <f>+Receipt!R29</f>
        <v>0</v>
      </c>
      <c r="H8" s="4">
        <f>+Receipt!T29</f>
        <v>29000</v>
      </c>
      <c r="I8" s="6">
        <f t="shared" ref="I8:I17" si="3">G8-C8</f>
        <v>0</v>
      </c>
      <c r="J8" s="83">
        <v>2.3E-2</v>
      </c>
      <c r="K8" s="46">
        <f t="shared" si="0"/>
        <v>667</v>
      </c>
      <c r="L8" s="11">
        <f>'Type Wise Stock'!M29</f>
        <v>210830</v>
      </c>
      <c r="M8" s="6">
        <f t="shared" ref="M8:M17" si="4">E8*J8</f>
        <v>276</v>
      </c>
      <c r="N8" s="69"/>
      <c r="O8" s="69"/>
      <c r="P8" s="69"/>
      <c r="Q8" s="69"/>
      <c r="R8" s="69"/>
    </row>
    <row r="9" spans="2:18" s="3" customFormat="1" ht="18" customHeight="1">
      <c r="B9" s="5" t="s">
        <v>50</v>
      </c>
      <c r="C9" s="5">
        <v>0</v>
      </c>
      <c r="D9" s="4">
        <v>0</v>
      </c>
      <c r="E9" s="4">
        <f t="shared" si="2"/>
        <v>20000</v>
      </c>
      <c r="F9" s="5">
        <f>+Receipt!K33</f>
        <v>20000</v>
      </c>
      <c r="G9" s="7">
        <f>+Receipt!R33</f>
        <v>0</v>
      </c>
      <c r="H9" s="4">
        <f>+Receipt!T33</f>
        <v>20000</v>
      </c>
      <c r="I9" s="6">
        <f t="shared" si="3"/>
        <v>0</v>
      </c>
      <c r="J9" s="83">
        <v>4.2000000000000003E-2</v>
      </c>
      <c r="K9" s="46">
        <f t="shared" si="0"/>
        <v>840</v>
      </c>
      <c r="L9" s="11">
        <f>'Type Wise Stock'!M33</f>
        <v>218000</v>
      </c>
      <c r="M9" s="6">
        <f t="shared" si="4"/>
        <v>840</v>
      </c>
      <c r="N9" s="69"/>
      <c r="O9" s="69"/>
      <c r="P9" s="69"/>
      <c r="Q9" s="69"/>
      <c r="R9" s="69"/>
    </row>
    <row r="10" spans="2:18" s="3" customFormat="1" ht="18" customHeight="1">
      <c r="B10" s="5" t="s">
        <v>51</v>
      </c>
      <c r="C10" s="5">
        <v>0</v>
      </c>
      <c r="D10" s="4">
        <v>29000</v>
      </c>
      <c r="E10" s="4">
        <f t="shared" si="2"/>
        <v>20000</v>
      </c>
      <c r="F10" s="5">
        <f>+Receipt!K40</f>
        <v>49000</v>
      </c>
      <c r="G10" s="7">
        <f>+Receipt!R40</f>
        <v>0</v>
      </c>
      <c r="H10" s="4">
        <f>+Receipt!T40</f>
        <v>49000</v>
      </c>
      <c r="I10" s="6">
        <f t="shared" si="3"/>
        <v>0</v>
      </c>
      <c r="J10" s="83">
        <v>3.2000000000000001E-2</v>
      </c>
      <c r="K10" s="46">
        <f t="shared" si="0"/>
        <v>1568</v>
      </c>
      <c r="L10" s="11">
        <f>'Type Wise Stock'!M40</f>
        <v>399840</v>
      </c>
      <c r="M10" s="6">
        <f t="shared" si="4"/>
        <v>640</v>
      </c>
      <c r="N10" s="69"/>
      <c r="O10" s="69"/>
      <c r="P10" s="69"/>
      <c r="Q10" s="69"/>
      <c r="R10" s="69"/>
    </row>
    <row r="11" spans="2:18" s="3" customFormat="1" ht="18" customHeight="1">
      <c r="B11" s="5" t="s">
        <v>36</v>
      </c>
      <c r="C11" s="5">
        <v>0</v>
      </c>
      <c r="D11" s="4">
        <v>0</v>
      </c>
      <c r="E11" s="4">
        <f t="shared" si="2"/>
        <v>18000</v>
      </c>
      <c r="F11" s="5">
        <f>+Receipt!K44</f>
        <v>18000</v>
      </c>
      <c r="G11" s="7">
        <f>+Receipt!R44</f>
        <v>0</v>
      </c>
      <c r="H11" s="4">
        <f>+Receipt!T44</f>
        <v>18000</v>
      </c>
      <c r="I11" s="6">
        <f t="shared" si="3"/>
        <v>0</v>
      </c>
      <c r="J11" s="83">
        <v>4.569306345077824E-2</v>
      </c>
      <c r="K11" s="46">
        <f t="shared" si="0"/>
        <v>822.47514211400835</v>
      </c>
      <c r="L11" s="11">
        <f>'Type Wise Stock'!M44</f>
        <v>203400</v>
      </c>
      <c r="M11" s="6">
        <f t="shared" si="4"/>
        <v>822.47514211400835</v>
      </c>
      <c r="N11" s="69"/>
      <c r="O11" s="69"/>
      <c r="P11" s="69"/>
      <c r="Q11" s="69"/>
      <c r="R11" s="69"/>
    </row>
    <row r="12" spans="2:18" s="3" customFormat="1" ht="18" customHeight="1">
      <c r="B12" s="5" t="s">
        <v>35</v>
      </c>
      <c r="C12" s="5">
        <v>0</v>
      </c>
      <c r="D12" s="4">
        <v>0</v>
      </c>
      <c r="E12" s="4">
        <f>F12-D12</f>
        <v>12000</v>
      </c>
      <c r="F12" s="5">
        <f>+Receipt!K47</f>
        <v>12000</v>
      </c>
      <c r="G12" s="7">
        <f>+Receipt!R47</f>
        <v>12000</v>
      </c>
      <c r="H12" s="4">
        <f>+Receipt!T47</f>
        <v>0</v>
      </c>
      <c r="I12" s="6">
        <f>G12-C12</f>
        <v>12000</v>
      </c>
      <c r="J12" s="83">
        <v>2.4E-2</v>
      </c>
      <c r="K12" s="46">
        <f t="shared" si="0"/>
        <v>0</v>
      </c>
      <c r="L12" s="11">
        <f>'Type Wise Stock'!M47</f>
        <v>0</v>
      </c>
      <c r="M12" s="6">
        <f t="shared" si="4"/>
        <v>288</v>
      </c>
      <c r="N12" s="69"/>
      <c r="O12" s="69"/>
      <c r="P12" s="69"/>
      <c r="Q12" s="69"/>
      <c r="R12" s="69"/>
    </row>
    <row r="13" spans="2:18" s="3" customFormat="1" ht="18" customHeight="1">
      <c r="B13" s="5" t="s">
        <v>66</v>
      </c>
      <c r="C13" s="5">
        <v>0</v>
      </c>
      <c r="D13" s="4">
        <v>1500</v>
      </c>
      <c r="E13" s="4">
        <f t="shared" si="2"/>
        <v>0</v>
      </c>
      <c r="F13" s="5">
        <f>+Receipt!K50</f>
        <v>1500</v>
      </c>
      <c r="G13" s="7">
        <f>+Receipt!R50</f>
        <v>0</v>
      </c>
      <c r="H13" s="4">
        <f>+Receipt!T50</f>
        <v>1500</v>
      </c>
      <c r="I13" s="6">
        <f t="shared" si="3"/>
        <v>0</v>
      </c>
      <c r="J13" s="83">
        <v>2.4E-2</v>
      </c>
      <c r="K13" s="46">
        <f t="shared" si="0"/>
        <v>36</v>
      </c>
      <c r="L13" s="11">
        <f>'Type Wise Stock'!M50</f>
        <v>11730</v>
      </c>
      <c r="M13" s="6">
        <f t="shared" si="4"/>
        <v>0</v>
      </c>
      <c r="N13" s="69"/>
      <c r="O13" s="69"/>
      <c r="P13" s="69"/>
      <c r="Q13" s="69"/>
      <c r="R13" s="69"/>
    </row>
    <row r="14" spans="2:18" s="3" customFormat="1" ht="18" customHeight="1">
      <c r="B14" s="5" t="s">
        <v>67</v>
      </c>
      <c r="C14" s="5">
        <v>0</v>
      </c>
      <c r="D14" s="4">
        <v>104000</v>
      </c>
      <c r="E14" s="4">
        <f t="shared" si="2"/>
        <v>2800</v>
      </c>
      <c r="F14" s="5">
        <f>+Receipt!K66</f>
        <v>106800</v>
      </c>
      <c r="G14" s="7">
        <f>+Receipt!R66</f>
        <v>0</v>
      </c>
      <c r="H14" s="4">
        <f>+Receipt!T66</f>
        <v>106800</v>
      </c>
      <c r="I14" s="6">
        <f t="shared" si="3"/>
        <v>0</v>
      </c>
      <c r="J14" s="83">
        <v>8.1000000000000003E-2</v>
      </c>
      <c r="K14" s="46">
        <f t="shared" si="0"/>
        <v>8650.8000000000011</v>
      </c>
      <c r="L14" s="11">
        <f>'Type Wise Stock'!M66</f>
        <v>2044152</v>
      </c>
      <c r="M14" s="6">
        <f t="shared" si="4"/>
        <v>226.8</v>
      </c>
      <c r="N14" s="69"/>
      <c r="O14" s="69"/>
      <c r="P14" s="69"/>
      <c r="Q14" s="69"/>
      <c r="R14" s="69"/>
    </row>
    <row r="15" spans="2:18" s="3" customFormat="1" ht="18" customHeight="1">
      <c r="B15" s="5" t="s">
        <v>68</v>
      </c>
      <c r="C15" s="5">
        <v>0</v>
      </c>
      <c r="D15" s="4">
        <v>0</v>
      </c>
      <c r="E15" s="4">
        <f t="shared" si="2"/>
        <v>0</v>
      </c>
      <c r="F15" s="5">
        <f>+Receipt!K69</f>
        <v>0</v>
      </c>
      <c r="G15" s="7">
        <f>+Receipt!R69</f>
        <v>0</v>
      </c>
      <c r="H15" s="4">
        <f>+Receipt!T69</f>
        <v>0</v>
      </c>
      <c r="I15" s="6">
        <f t="shared" si="3"/>
        <v>0</v>
      </c>
      <c r="J15" s="83">
        <v>0.05</v>
      </c>
      <c r="K15" s="46">
        <f t="shared" si="0"/>
        <v>0</v>
      </c>
      <c r="L15" s="11">
        <f>'Type Wise Stock'!M69</f>
        <v>0</v>
      </c>
      <c r="M15" s="6">
        <f t="shared" si="4"/>
        <v>0</v>
      </c>
      <c r="N15" s="69"/>
      <c r="O15" s="69"/>
      <c r="P15" s="69"/>
      <c r="Q15" s="69"/>
      <c r="R15" s="69"/>
    </row>
    <row r="16" spans="2:18" s="3" customFormat="1" ht="18" customHeight="1">
      <c r="B16" s="5" t="s">
        <v>69</v>
      </c>
      <c r="C16" s="5">
        <v>0</v>
      </c>
      <c r="D16" s="4">
        <v>54000</v>
      </c>
      <c r="E16" s="4">
        <f t="shared" si="2"/>
        <v>18000</v>
      </c>
      <c r="F16" s="5">
        <f>+Receipt!K76</f>
        <v>72000</v>
      </c>
      <c r="G16" s="7">
        <f>+Receipt!R76</f>
        <v>0</v>
      </c>
      <c r="H16" s="4">
        <f>+Receipt!T76</f>
        <v>72000</v>
      </c>
      <c r="I16" s="6">
        <f t="shared" si="3"/>
        <v>0</v>
      </c>
      <c r="J16" s="83">
        <v>0.113</v>
      </c>
      <c r="K16" s="46">
        <f t="shared" si="0"/>
        <v>8136</v>
      </c>
      <c r="L16" s="11">
        <f>'Type Wise Stock'!M76</f>
        <v>1838880</v>
      </c>
      <c r="M16" s="6">
        <f t="shared" si="4"/>
        <v>2034</v>
      </c>
      <c r="N16" s="69"/>
      <c r="O16" s="69"/>
      <c r="P16" s="69"/>
      <c r="Q16" s="69"/>
      <c r="R16" s="69"/>
    </row>
    <row r="17" spans="2:18" s="3" customFormat="1" ht="18" customHeight="1">
      <c r="B17" s="5" t="s">
        <v>70</v>
      </c>
      <c r="C17" s="5">
        <v>0</v>
      </c>
      <c r="D17" s="4">
        <v>0</v>
      </c>
      <c r="E17" s="4">
        <f t="shared" si="2"/>
        <v>15000</v>
      </c>
      <c r="F17" s="5">
        <f>+Receipt!K80</f>
        <v>15000</v>
      </c>
      <c r="G17" s="7">
        <f>+Receipt!R80</f>
        <v>0</v>
      </c>
      <c r="H17" s="4">
        <f>+Receipt!T80</f>
        <v>15000</v>
      </c>
      <c r="I17" s="6">
        <f t="shared" si="3"/>
        <v>0</v>
      </c>
      <c r="J17" s="83">
        <v>6.3E-2</v>
      </c>
      <c r="K17" s="46">
        <f t="shared" si="0"/>
        <v>945</v>
      </c>
      <c r="L17" s="11">
        <f>'Type Wise Stock'!M80</f>
        <v>247050</v>
      </c>
      <c r="M17" s="6">
        <f t="shared" si="4"/>
        <v>945</v>
      </c>
      <c r="N17" s="69"/>
      <c r="O17" s="69"/>
      <c r="P17" s="69"/>
      <c r="Q17" s="69"/>
      <c r="R17" s="69"/>
    </row>
    <row r="18" spans="2:18" s="3" customFormat="1" ht="18" customHeight="1">
      <c r="B18" s="5"/>
      <c r="C18" s="5"/>
      <c r="D18" s="4"/>
      <c r="E18" s="4"/>
      <c r="F18" s="5"/>
      <c r="G18" s="7"/>
      <c r="H18" s="7"/>
      <c r="I18" s="7"/>
      <c r="J18" s="7"/>
      <c r="K18" s="7"/>
      <c r="L18" s="11"/>
      <c r="M18" s="23"/>
      <c r="P18" s="69"/>
      <c r="Q18" s="69"/>
    </row>
    <row r="19" spans="2:18" s="3" customFormat="1" ht="33" customHeight="1">
      <c r="B19" s="81" t="s">
        <v>7</v>
      </c>
      <c r="C19" s="12">
        <f t="shared" ref="C19:I19" si="5">SUM(C6:C18)</f>
        <v>0</v>
      </c>
      <c r="D19" s="12">
        <f>SUM(D6:D18)</f>
        <v>328400</v>
      </c>
      <c r="E19" s="182">
        <f>SUM(E6:E18)</f>
        <v>129800</v>
      </c>
      <c r="F19" s="13">
        <f t="shared" si="5"/>
        <v>458200</v>
      </c>
      <c r="G19" s="14">
        <f t="shared" si="5"/>
        <v>12000</v>
      </c>
      <c r="H19" s="12">
        <f t="shared" si="5"/>
        <v>446200</v>
      </c>
      <c r="I19" s="12">
        <f t="shared" si="5"/>
        <v>12000</v>
      </c>
      <c r="J19" s="12"/>
      <c r="K19" s="82">
        <f>SUM(K6:K18)</f>
        <v>26251.875142114011</v>
      </c>
      <c r="L19" s="15">
        <f>SUM(L6:L18)</f>
        <v>6467949</v>
      </c>
      <c r="M19" s="174">
        <f>SUM(M6:M18)</f>
        <v>6480.2751421140083</v>
      </c>
    </row>
    <row r="21" spans="2:18" ht="20.25" customHeight="1">
      <c r="B21" s="52" t="s">
        <v>26</v>
      </c>
      <c r="C21" s="52"/>
      <c r="D21" s="217" t="str">
        <f>IF(D19+E19-G19=H19,"STOCK OK", " STOCK NOT MATCHING" )</f>
        <v>STOCK OK</v>
      </c>
      <c r="E21" s="217"/>
      <c r="F21" s="217"/>
      <c r="H21" s="161"/>
    </row>
    <row r="22" spans="2:18" ht="15.75" thickBot="1"/>
    <row r="23" spans="2:18" s="3" customFormat="1" ht="15.75" thickBot="1">
      <c r="B23" s="19"/>
      <c r="C23" s="19"/>
      <c r="D23" s="205" t="s">
        <v>32</v>
      </c>
      <c r="E23" s="206"/>
      <c r="F23" s="207"/>
      <c r="G23" s="208"/>
      <c r="H23" s="18"/>
      <c r="I23" s="18"/>
      <c r="J23" s="18"/>
      <c r="K23" s="18"/>
    </row>
    <row r="24" spans="2:18" s="3" customFormat="1" ht="18" customHeight="1">
      <c r="B24" s="19"/>
      <c r="C24" s="19"/>
      <c r="D24" s="213" t="s">
        <v>44</v>
      </c>
      <c r="E24" s="214"/>
      <c r="F24" s="209" t="s">
        <v>140</v>
      </c>
      <c r="G24" s="210"/>
      <c r="H24" s="18"/>
      <c r="I24" s="18"/>
      <c r="J24" s="18"/>
      <c r="K24" s="18"/>
    </row>
    <row r="25" spans="2:18" s="3" customFormat="1" ht="18" customHeight="1">
      <c r="B25" s="19"/>
      <c r="C25" s="19"/>
      <c r="D25" s="215" t="s">
        <v>45</v>
      </c>
      <c r="E25" s="216"/>
      <c r="F25" s="211">
        <v>46265</v>
      </c>
      <c r="G25" s="212"/>
      <c r="H25" s="18"/>
      <c r="I25" s="18"/>
      <c r="J25" s="18"/>
      <c r="K25" s="18"/>
    </row>
    <row r="26" spans="2:18" s="3" customFormat="1" ht="18" customHeight="1">
      <c r="B26" s="19"/>
      <c r="C26" s="19"/>
      <c r="D26" s="215" t="s">
        <v>0</v>
      </c>
      <c r="E26" s="216"/>
      <c r="F26" s="211">
        <v>46270</v>
      </c>
      <c r="G26" s="212"/>
      <c r="H26" s="18"/>
      <c r="I26" s="18"/>
      <c r="J26" s="18"/>
      <c r="K26" s="18"/>
    </row>
    <row r="27" spans="2:18" s="3" customFormat="1" ht="18" customHeight="1" thickBot="1">
      <c r="B27" s="19"/>
      <c r="C27" s="19"/>
      <c r="D27" s="80"/>
      <c r="E27" s="117"/>
      <c r="F27" s="201"/>
      <c r="G27" s="202"/>
      <c r="H27" s="19"/>
      <c r="I27" s="19"/>
      <c r="J27" s="19"/>
      <c r="K27" s="19"/>
    </row>
    <row r="61" spans="7:9">
      <c r="G61" s="21">
        <v>479</v>
      </c>
      <c r="H61" s="116">
        <v>45316</v>
      </c>
      <c r="I61" s="116"/>
    </row>
    <row r="62" spans="7:9">
      <c r="G62" s="21">
        <v>479</v>
      </c>
      <c r="H62" s="116">
        <v>45316</v>
      </c>
      <c r="I62" s="116"/>
    </row>
    <row r="63" spans="7:9">
      <c r="G63" s="21">
        <v>480</v>
      </c>
    </row>
    <row r="64" spans="7:9">
      <c r="G64" s="21">
        <v>480</v>
      </c>
    </row>
    <row r="65" spans="7:7">
      <c r="G65" s="21">
        <v>480</v>
      </c>
    </row>
    <row r="66" spans="7:7">
      <c r="G66" s="21">
        <v>480</v>
      </c>
    </row>
    <row r="67" spans="7:7">
      <c r="G67" s="21">
        <v>480</v>
      </c>
    </row>
    <row r="68" spans="7:7">
      <c r="G68" s="21">
        <v>481</v>
      </c>
    </row>
    <row r="69" spans="7:7">
      <c r="G69" s="21">
        <v>481</v>
      </c>
    </row>
    <row r="70" spans="7:7">
      <c r="G70" s="21">
        <v>481</v>
      </c>
    </row>
    <row r="71" spans="7:7">
      <c r="G71" s="21">
        <v>481</v>
      </c>
    </row>
    <row r="72" spans="7:7">
      <c r="G72" s="21">
        <v>481</v>
      </c>
    </row>
  </sheetData>
  <mergeCells count="22">
    <mergeCell ref="B2:L2"/>
    <mergeCell ref="H4:H5"/>
    <mergeCell ref="L4:L5"/>
    <mergeCell ref="F4:F5"/>
    <mergeCell ref="J4:J5"/>
    <mergeCell ref="K4:K5"/>
    <mergeCell ref="M4:M5"/>
    <mergeCell ref="F27:G27"/>
    <mergeCell ref="G4:G5"/>
    <mergeCell ref="B4:B5"/>
    <mergeCell ref="D4:D5"/>
    <mergeCell ref="D23:G23"/>
    <mergeCell ref="F24:G24"/>
    <mergeCell ref="F25:G25"/>
    <mergeCell ref="F26:G26"/>
    <mergeCell ref="C4:C5"/>
    <mergeCell ref="E4:E5"/>
    <mergeCell ref="D24:E24"/>
    <mergeCell ref="D25:E25"/>
    <mergeCell ref="D26:E26"/>
    <mergeCell ref="I4:I5"/>
    <mergeCell ref="D21:F21"/>
  </mergeCells>
  <phoneticPr fontId="0" type="noConversion"/>
  <conditionalFormatting sqref="H6:H17">
    <cfRule type="cellIs" dxfId="182" priority="1" operator="equal">
      <formula>0</formula>
    </cfRule>
    <cfRule type="cellIs" dxfId="181" priority="2" operator="lessThan">
      <formula>0</formula>
    </cfRule>
    <cfRule type="cellIs" dxfId="180" priority="3" operator="greaterThan">
      <formula>0</formula>
    </cfRule>
  </conditionalFormatting>
  <printOptions gridLines="1"/>
  <pageMargins left="0.75" right="0.75" top="1" bottom="1" header="0.5" footer="0.5"/>
  <pageSetup paperSize="9" orientation="portrait" horizontalDpi="120" verticalDpi="14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2:W18"/>
  <sheetViews>
    <sheetView zoomScaleNormal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L9" sqref="A9:XFD9"/>
    </sheetView>
  </sheetViews>
  <sheetFormatPr defaultColWidth="9.140625" defaultRowHeight="18" customHeight="1"/>
  <cols>
    <col min="1" max="1" width="3.7109375" style="84" customWidth="1"/>
    <col min="2" max="2" width="14.85546875" style="84" customWidth="1"/>
    <col min="3" max="3" width="13.140625" style="84" customWidth="1"/>
    <col min="4" max="4" width="13.140625" style="85" bestFit="1" customWidth="1"/>
    <col min="5" max="5" width="19.85546875" style="85" bestFit="1" customWidth="1"/>
    <col min="6" max="6" width="17.140625" style="168" customWidth="1"/>
    <col min="7" max="7" width="12.7109375" style="85" customWidth="1"/>
    <col min="8" max="8" width="13.140625" style="85" bestFit="1" customWidth="1"/>
    <col min="9" max="10" width="9" style="85" customWidth="1"/>
    <col min="11" max="12" width="10" style="84" bestFit="1" customWidth="1"/>
    <col min="13" max="13" width="16.42578125" style="84" bestFit="1" customWidth="1"/>
    <col min="14" max="14" width="14" style="84" customWidth="1"/>
    <col min="15" max="15" width="15" style="86" customWidth="1"/>
    <col min="16" max="16" width="14.5703125" style="86" customWidth="1"/>
    <col min="17" max="17" width="12.5703125" style="85" bestFit="1" customWidth="1"/>
    <col min="18" max="19" width="9.140625" style="84"/>
    <col min="20" max="20" width="10.7109375" style="84" customWidth="1"/>
    <col min="21" max="21" width="11.85546875" style="84" customWidth="1"/>
    <col min="22" max="22" width="33.5703125" style="84" bestFit="1" customWidth="1"/>
    <col min="23" max="16384" width="9.140625" style="84"/>
  </cols>
  <sheetData>
    <row r="2" spans="2:23" s="90" customFormat="1" ht="18" customHeight="1">
      <c r="D2" s="223" t="s">
        <v>8</v>
      </c>
      <c r="E2" s="223"/>
      <c r="F2" s="223"/>
      <c r="G2" s="223"/>
      <c r="H2" s="223"/>
      <c r="I2" s="223"/>
      <c r="J2" s="223"/>
      <c r="K2" s="223"/>
      <c r="L2" s="114"/>
      <c r="M2" s="114"/>
      <c r="N2" s="113" t="s">
        <v>10</v>
      </c>
      <c r="O2" s="112" t="s">
        <v>52</v>
      </c>
      <c r="P2" s="111"/>
      <c r="Q2" s="104"/>
    </row>
    <row r="3" spans="2:23" s="90" customFormat="1" ht="18" customHeight="1">
      <c r="B3" s="106" t="s">
        <v>9</v>
      </c>
      <c r="D3" s="104"/>
      <c r="E3" s="104"/>
      <c r="F3" s="164"/>
      <c r="G3" s="104"/>
      <c r="H3" s="104"/>
      <c r="I3" s="104"/>
      <c r="J3" s="104"/>
      <c r="N3" s="105"/>
      <c r="O3" s="106" t="s">
        <v>53</v>
      </c>
      <c r="P3" s="110"/>
      <c r="Q3" s="104"/>
    </row>
    <row r="4" spans="2:23" s="90" customFormat="1" ht="18" customHeight="1">
      <c r="B4" s="106" t="s">
        <v>11</v>
      </c>
      <c r="D4" s="104"/>
      <c r="E4" s="104"/>
      <c r="F4" s="96" t="s">
        <v>95</v>
      </c>
      <c r="G4" s="104"/>
      <c r="H4" s="104"/>
      <c r="I4" s="104"/>
      <c r="J4" s="104"/>
      <c r="M4" s="105"/>
      <c r="N4" s="105"/>
      <c r="O4" s="106" t="s">
        <v>54</v>
      </c>
      <c r="P4" s="110"/>
      <c r="Q4" s="104"/>
    </row>
    <row r="5" spans="2:23" s="90" customFormat="1" ht="18" customHeight="1">
      <c r="B5" s="224" t="s">
        <v>132</v>
      </c>
      <c r="C5" s="224"/>
      <c r="D5" s="108"/>
      <c r="E5" s="108"/>
      <c r="F5" s="96" t="s">
        <v>96</v>
      </c>
      <c r="G5" s="104"/>
      <c r="H5" s="104"/>
      <c r="I5" s="104"/>
      <c r="J5" s="104"/>
      <c r="L5" s="107"/>
      <c r="M5" s="105"/>
      <c r="N5" s="105"/>
      <c r="O5" s="106" t="s">
        <v>55</v>
      </c>
      <c r="P5" s="110"/>
      <c r="Q5" s="104"/>
    </row>
    <row r="6" spans="2:23" s="90" customFormat="1" ht="18" customHeight="1">
      <c r="B6" s="109"/>
      <c r="C6" s="109"/>
      <c r="D6" s="108"/>
      <c r="E6" s="108"/>
      <c r="F6" s="165"/>
      <c r="G6" s="104"/>
      <c r="H6" s="104"/>
      <c r="I6" s="104"/>
      <c r="J6" s="104"/>
      <c r="L6" s="107"/>
      <c r="M6" s="105"/>
      <c r="O6" s="106" t="s">
        <v>56</v>
      </c>
      <c r="P6" s="105"/>
      <c r="Q6" s="104"/>
    </row>
    <row r="7" spans="2:23" s="98" customFormat="1" ht="38.25">
      <c r="B7" s="103" t="s">
        <v>40</v>
      </c>
      <c r="C7" s="103" t="s">
        <v>41</v>
      </c>
      <c r="D7" s="102" t="s">
        <v>42</v>
      </c>
      <c r="E7" s="102" t="s">
        <v>30</v>
      </c>
      <c r="F7" s="166" t="s">
        <v>94</v>
      </c>
      <c r="G7" s="102" t="s">
        <v>43</v>
      </c>
      <c r="H7" s="102" t="s">
        <v>4</v>
      </c>
      <c r="I7" s="102" t="s">
        <v>63</v>
      </c>
      <c r="J7" s="102" t="s">
        <v>62</v>
      </c>
      <c r="K7" s="103" t="s">
        <v>25</v>
      </c>
      <c r="L7" s="103" t="s">
        <v>34</v>
      </c>
      <c r="M7" s="103" t="s">
        <v>1</v>
      </c>
      <c r="N7" s="103" t="s">
        <v>33</v>
      </c>
      <c r="O7" s="101" t="s">
        <v>6</v>
      </c>
      <c r="P7" s="101" t="s">
        <v>29</v>
      </c>
      <c r="Q7" s="101" t="s">
        <v>28</v>
      </c>
      <c r="R7" s="101" t="s">
        <v>58</v>
      </c>
      <c r="S7" s="102" t="s">
        <v>60</v>
      </c>
      <c r="T7" s="102" t="s">
        <v>61</v>
      </c>
      <c r="U7" s="101" t="s">
        <v>59</v>
      </c>
      <c r="V7" s="90"/>
    </row>
    <row r="8" spans="2:23" s="122" customFormat="1" ht="18.75" customHeight="1">
      <c r="B8" s="118" t="s">
        <v>35</v>
      </c>
      <c r="C8" s="118">
        <v>556</v>
      </c>
      <c r="D8" s="119">
        <v>46260</v>
      </c>
      <c r="E8" s="119" t="s">
        <v>87</v>
      </c>
      <c r="F8" s="96" t="s">
        <v>95</v>
      </c>
      <c r="G8" s="119"/>
      <c r="H8" s="119">
        <v>46270</v>
      </c>
      <c r="I8" s="120">
        <v>0</v>
      </c>
      <c r="J8" s="178">
        <v>1</v>
      </c>
      <c r="K8" s="120">
        <v>12000</v>
      </c>
      <c r="L8" s="120">
        <v>7.62</v>
      </c>
      <c r="M8" s="100">
        <f t="shared" ref="M8" si="0">+L8*K8</f>
        <v>91440</v>
      </c>
      <c r="N8" s="100">
        <f t="shared" ref="N8" si="1">+M8*18%</f>
        <v>16459.2</v>
      </c>
      <c r="O8" s="99">
        <f t="shared" ref="O8" si="2">+N8+M8</f>
        <v>107899.2</v>
      </c>
      <c r="P8" s="119">
        <v>46270</v>
      </c>
      <c r="Q8" s="121" t="s">
        <v>139</v>
      </c>
      <c r="R8" s="121">
        <v>2.4E-2</v>
      </c>
      <c r="S8" s="97">
        <v>0</v>
      </c>
      <c r="T8" s="97">
        <v>24</v>
      </c>
      <c r="U8" s="95">
        <f t="shared" ref="U8" si="3">+K8*R8+I8*S8+J8*T8</f>
        <v>312</v>
      </c>
      <c r="V8" s="160"/>
    </row>
    <row r="9" spans="2:23" s="122" customFormat="1" ht="18.75" customHeight="1">
      <c r="B9" s="118"/>
      <c r="C9" s="118"/>
      <c r="D9" s="119"/>
      <c r="E9" s="119"/>
      <c r="F9" s="96"/>
      <c r="G9" s="119"/>
      <c r="H9" s="119"/>
      <c r="I9" s="120"/>
      <c r="J9" s="178"/>
      <c r="K9" s="120"/>
      <c r="L9" s="120"/>
      <c r="M9" s="100"/>
      <c r="N9" s="100"/>
      <c r="O9" s="99"/>
      <c r="P9" s="119"/>
      <c r="Q9" s="121"/>
      <c r="R9" s="121"/>
      <c r="S9" s="97"/>
      <c r="T9" s="97"/>
      <c r="U9" s="95"/>
      <c r="V9" s="160"/>
    </row>
    <row r="10" spans="2:23" s="90" customFormat="1" ht="18" customHeight="1">
      <c r="B10" s="220"/>
      <c r="C10" s="221"/>
      <c r="D10" s="221"/>
      <c r="E10" s="222"/>
      <c r="F10" s="167"/>
      <c r="G10" s="94"/>
      <c r="H10" s="94"/>
      <c r="I10" s="220">
        <f>SUM(I8:J9)</f>
        <v>1</v>
      </c>
      <c r="J10" s="222"/>
      <c r="K10" s="94">
        <f>SUM(K8:K9)</f>
        <v>12000</v>
      </c>
      <c r="L10" s="94"/>
      <c r="M10" s="93">
        <f>SUM(M8:M9)</f>
        <v>91440</v>
      </c>
      <c r="N10" s="93">
        <f>SUM(N8:N9)</f>
        <v>16459.2</v>
      </c>
      <c r="O10" s="93">
        <f>SUM(O8:O9)</f>
        <v>107899.2</v>
      </c>
      <c r="P10" s="93"/>
      <c r="Q10" s="92"/>
      <c r="R10" s="92"/>
      <c r="S10" s="92"/>
      <c r="T10" s="92"/>
      <c r="U10" s="91">
        <f>SUM(U8:U9)</f>
        <v>312</v>
      </c>
      <c r="V10" s="84"/>
    </row>
    <row r="11" spans="2:23" ht="18" customHeight="1">
      <c r="W11" s="90"/>
    </row>
    <row r="12" spans="2:23" ht="18" customHeight="1">
      <c r="B12" s="219" t="s">
        <v>27</v>
      </c>
      <c r="C12" s="219"/>
      <c r="D12" s="89"/>
      <c r="E12" s="88" t="str">
        <f>IF(K10=Summary!G19,"SALES OK", " SALES NOT MATCHING" )</f>
        <v>SALES OK</v>
      </c>
      <c r="U12" s="169"/>
      <c r="W12" s="90"/>
    </row>
    <row r="13" spans="2:23" ht="18" customHeight="1">
      <c r="F13" s="168" t="s">
        <v>31</v>
      </c>
      <c r="W13" s="90"/>
    </row>
    <row r="14" spans="2:23" ht="18" customHeight="1">
      <c r="M14" s="87"/>
      <c r="N14" s="87"/>
      <c r="W14" s="90"/>
    </row>
    <row r="15" spans="2:23" ht="18" customHeight="1">
      <c r="M15" s="87"/>
      <c r="N15" s="87"/>
      <c r="W15" s="90"/>
    </row>
    <row r="16" spans="2:23" ht="18" customHeight="1">
      <c r="W16" s="90"/>
    </row>
    <row r="17" spans="23:23" ht="18" customHeight="1">
      <c r="W17" s="90"/>
    </row>
    <row r="18" spans="23:23" ht="18" customHeight="1">
      <c r="W18" s="90"/>
    </row>
  </sheetData>
  <autoFilter ref="B7:U10">
    <filterColumn colId="0"/>
    <filterColumn colId="4"/>
  </autoFilter>
  <mergeCells count="5">
    <mergeCell ref="B12:C12"/>
    <mergeCell ref="B10:E10"/>
    <mergeCell ref="D2:K2"/>
    <mergeCell ref="B5:C5"/>
    <mergeCell ref="I10:J10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S35"/>
  <sheetViews>
    <sheetView topLeftCell="A2" workbookViewId="0">
      <selection activeCell="H44" sqref="H44"/>
    </sheetView>
  </sheetViews>
  <sheetFormatPr defaultColWidth="16.5703125" defaultRowHeight="18" customHeight="1"/>
  <cols>
    <col min="1" max="1" width="3.85546875" style="19" customWidth="1"/>
    <col min="2" max="2" width="10" style="127" bestFit="1" customWidth="1"/>
    <col min="3" max="3" width="16.28515625" style="19" bestFit="1" customWidth="1"/>
    <col min="4" max="4" width="12.140625" style="128" bestFit="1" customWidth="1"/>
    <col min="5" max="5" width="15.140625" style="19" bestFit="1" customWidth="1"/>
    <col min="6" max="6" width="12.140625" style="19" bestFit="1" customWidth="1"/>
    <col min="7" max="7" width="16.85546875" style="19" bestFit="1" customWidth="1"/>
    <col min="8" max="8" width="17.5703125" style="129" customWidth="1"/>
    <col min="9" max="9" width="12.140625" style="19" bestFit="1" customWidth="1"/>
    <col min="10" max="10" width="9.5703125" style="146" bestFit="1" customWidth="1"/>
    <col min="11" max="11" width="9.5703125" style="147" bestFit="1" customWidth="1"/>
    <col min="12" max="12" width="13.28515625" style="19" bestFit="1" customWidth="1"/>
    <col min="13" max="13" width="12.7109375" style="19" bestFit="1" customWidth="1"/>
    <col min="14" max="14" width="15.28515625" style="19" customWidth="1"/>
    <col min="15" max="15" width="10.5703125" style="19" bestFit="1" customWidth="1"/>
    <col min="16" max="16" width="9.85546875" style="19" bestFit="1" customWidth="1"/>
    <col min="17" max="17" width="13.140625" style="130" bestFit="1" customWidth="1"/>
    <col min="18" max="18" width="47.42578125" style="135" customWidth="1"/>
    <col min="19" max="19" width="16.5703125" style="131"/>
    <col min="20" max="16384" width="16.5703125" style="19"/>
  </cols>
  <sheetData>
    <row r="1" spans="2:19" ht="18" customHeight="1">
      <c r="I1" s="132"/>
      <c r="J1" s="132"/>
      <c r="K1" s="132"/>
      <c r="L1" s="132"/>
      <c r="M1" s="132"/>
      <c r="N1" s="132"/>
      <c r="O1" s="133"/>
      <c r="P1" s="134"/>
    </row>
    <row r="2" spans="2:19" s="3" customFormat="1" ht="18" customHeight="1">
      <c r="B2" s="225" t="s">
        <v>86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136"/>
    </row>
    <row r="3" spans="2:19" s="3" customFormat="1" ht="18" customHeight="1">
      <c r="B3" s="7"/>
      <c r="C3" s="23"/>
      <c r="D3" s="137"/>
      <c r="E3" s="23"/>
      <c r="F3" s="23"/>
      <c r="G3" s="23"/>
      <c r="H3" s="138"/>
      <c r="I3" s="23"/>
      <c r="J3" s="5"/>
      <c r="K3" s="29"/>
      <c r="L3" s="23"/>
      <c r="M3" s="23"/>
      <c r="N3" s="23"/>
      <c r="O3" s="23"/>
      <c r="P3" s="23"/>
      <c r="Q3" s="58">
        <f ca="1">+NOW()</f>
        <v>46270.528471527781</v>
      </c>
      <c r="R3" s="139"/>
      <c r="S3" s="136"/>
    </row>
    <row r="4" spans="2:19" s="2" customFormat="1" ht="25.5">
      <c r="B4" s="32" t="s">
        <v>77</v>
      </c>
      <c r="C4" s="32" t="s">
        <v>78</v>
      </c>
      <c r="D4" s="140" t="s">
        <v>79</v>
      </c>
      <c r="E4" s="32" t="s">
        <v>80</v>
      </c>
      <c r="F4" s="32" t="s">
        <v>81</v>
      </c>
      <c r="G4" s="32" t="s">
        <v>18</v>
      </c>
      <c r="H4" s="141" t="s">
        <v>82</v>
      </c>
      <c r="I4" s="32" t="s">
        <v>19</v>
      </c>
      <c r="J4" s="32" t="s">
        <v>25</v>
      </c>
      <c r="K4" s="142" t="s">
        <v>21</v>
      </c>
      <c r="L4" s="32" t="s">
        <v>1</v>
      </c>
      <c r="M4" s="32" t="s">
        <v>83</v>
      </c>
      <c r="N4" s="32" t="s">
        <v>84</v>
      </c>
      <c r="O4" s="32" t="s">
        <v>58</v>
      </c>
      <c r="P4" s="32" t="s">
        <v>85</v>
      </c>
      <c r="Q4" s="32" t="s">
        <v>5</v>
      </c>
      <c r="R4" s="32" t="s">
        <v>12</v>
      </c>
      <c r="S4" s="143"/>
    </row>
    <row r="5" spans="2:19" s="3" customFormat="1" ht="23.25" hidden="1" customHeight="1">
      <c r="B5" s="148" t="s">
        <v>50</v>
      </c>
      <c r="C5" s="124" t="s">
        <v>91</v>
      </c>
      <c r="D5" s="149" t="s">
        <v>91</v>
      </c>
      <c r="E5" s="124">
        <v>1903208</v>
      </c>
      <c r="F5" s="149">
        <v>45918</v>
      </c>
      <c r="G5" s="150" t="s">
        <v>90</v>
      </c>
      <c r="H5" s="151" t="s">
        <v>92</v>
      </c>
      <c r="I5" s="152">
        <v>45924</v>
      </c>
      <c r="J5" s="153">
        <f>25000-24692</f>
        <v>308</v>
      </c>
      <c r="K5" s="154">
        <v>10.9</v>
      </c>
      <c r="L5" s="154">
        <f>+J5*K5</f>
        <v>3357.2000000000003</v>
      </c>
      <c r="M5" s="154">
        <f>+L5*18%</f>
        <v>604.29600000000005</v>
      </c>
      <c r="N5" s="155">
        <f>+L5+M5</f>
        <v>3961.4960000000001</v>
      </c>
      <c r="O5" s="156">
        <v>4.2000000000000003E-2</v>
      </c>
      <c r="P5" s="157">
        <f>+J5*O5</f>
        <v>12.936</v>
      </c>
      <c r="Q5" s="125">
        <f ca="1">+$Q$3-I5</f>
        <v>346.52847152778122</v>
      </c>
      <c r="R5" s="159" t="s">
        <v>93</v>
      </c>
      <c r="S5" s="136"/>
    </row>
    <row r="6" spans="2:19" s="3" customFormat="1" ht="18" hidden="1" customHeight="1">
      <c r="B6" s="7"/>
      <c r="C6" s="23"/>
      <c r="D6" s="137"/>
      <c r="E6" s="23"/>
      <c r="F6" s="23"/>
      <c r="G6" s="23"/>
      <c r="H6" s="138"/>
      <c r="I6" s="137"/>
      <c r="J6" s="5"/>
      <c r="K6" s="29"/>
      <c r="L6" s="29"/>
      <c r="M6" s="23"/>
      <c r="N6" s="23"/>
      <c r="O6" s="144"/>
      <c r="P6" s="138"/>
      <c r="Q6" s="30"/>
      <c r="R6" s="139"/>
      <c r="S6" s="136"/>
    </row>
    <row r="7" spans="2:19" s="3" customFormat="1" ht="18" hidden="1" customHeight="1">
      <c r="B7" s="197" t="s">
        <v>3</v>
      </c>
      <c r="C7" s="197"/>
      <c r="D7" s="197"/>
      <c r="E7" s="197"/>
      <c r="F7" s="197"/>
      <c r="G7" s="197"/>
      <c r="H7" s="197"/>
      <c r="I7" s="197"/>
      <c r="J7" s="126">
        <f>SUM(J5:J6)</f>
        <v>308</v>
      </c>
      <c r="K7" s="34"/>
      <c r="L7" s="34">
        <f>SUM(L5:L6)</f>
        <v>3357.2000000000003</v>
      </c>
      <c r="M7" s="34">
        <f>SUM(M5:M6)</f>
        <v>604.29600000000005</v>
      </c>
      <c r="N7" s="34">
        <f>SUM(N5:N6)</f>
        <v>3961.4960000000001</v>
      </c>
      <c r="O7" s="145"/>
      <c r="P7" s="36">
        <f>SUM(P5:P6)</f>
        <v>12.936</v>
      </c>
      <c r="Q7" s="34"/>
      <c r="R7" s="139"/>
      <c r="S7" s="136"/>
    </row>
    <row r="8" spans="2:19" s="123" customFormat="1" ht="23.25" hidden="1" customHeight="1">
      <c r="B8" s="148" t="s">
        <v>69</v>
      </c>
      <c r="C8" s="124" t="s">
        <v>89</v>
      </c>
      <c r="D8" s="149">
        <v>45864</v>
      </c>
      <c r="E8" s="124">
        <v>1902991</v>
      </c>
      <c r="F8" s="149">
        <v>45855</v>
      </c>
      <c r="G8" s="150" t="s">
        <v>90</v>
      </c>
      <c r="H8" s="151" t="s">
        <v>91</v>
      </c>
      <c r="I8" s="152">
        <v>45874</v>
      </c>
      <c r="J8" s="153">
        <v>1167</v>
      </c>
      <c r="K8" s="154">
        <v>25.91</v>
      </c>
      <c r="L8" s="154">
        <f>+J8*K8</f>
        <v>30236.97</v>
      </c>
      <c r="M8" s="154">
        <f>+L8*18%</f>
        <v>5442.6545999999998</v>
      </c>
      <c r="N8" s="155">
        <f>+L8+M8</f>
        <v>35679.624600000003</v>
      </c>
      <c r="O8" s="156">
        <v>0.113</v>
      </c>
      <c r="P8" s="157">
        <f>+J8*O8</f>
        <v>131.87100000000001</v>
      </c>
      <c r="Q8" s="125">
        <f ca="1">+$Q$3-I8</f>
        <v>396.52847152778122</v>
      </c>
      <c r="R8" s="159"/>
      <c r="S8" s="158"/>
    </row>
    <row r="9" spans="2:19" s="3" customFormat="1" ht="18" hidden="1" customHeight="1">
      <c r="B9" s="7"/>
      <c r="C9" s="23"/>
      <c r="D9" s="137"/>
      <c r="E9" s="23"/>
      <c r="F9" s="23"/>
      <c r="G9" s="23"/>
      <c r="H9" s="138"/>
      <c r="I9" s="137"/>
      <c r="J9" s="5"/>
      <c r="K9" s="29"/>
      <c r="L9" s="29"/>
      <c r="M9" s="23"/>
      <c r="N9" s="23"/>
      <c r="O9" s="144"/>
      <c r="P9" s="138"/>
      <c r="Q9" s="30"/>
      <c r="R9" s="139"/>
      <c r="S9" s="136"/>
    </row>
    <row r="10" spans="2:19" s="3" customFormat="1" ht="18" hidden="1" customHeight="1">
      <c r="B10" s="197" t="s">
        <v>3</v>
      </c>
      <c r="C10" s="197"/>
      <c r="D10" s="197"/>
      <c r="E10" s="197"/>
      <c r="F10" s="197"/>
      <c r="G10" s="197"/>
      <c r="H10" s="197"/>
      <c r="I10" s="197"/>
      <c r="J10" s="126">
        <f>SUM(J8:J9)</f>
        <v>1167</v>
      </c>
      <c r="K10" s="34"/>
      <c r="L10" s="34">
        <f>SUM(L8:L9)</f>
        <v>30236.97</v>
      </c>
      <c r="M10" s="34">
        <f>SUM(M8:M9)</f>
        <v>5442.6545999999998</v>
      </c>
      <c r="N10" s="34">
        <f>SUM(N8:N9)</f>
        <v>35679.624600000003</v>
      </c>
      <c r="O10" s="145"/>
      <c r="P10" s="36">
        <f>SUM(P8:P9)</f>
        <v>131.87100000000001</v>
      </c>
      <c r="Q10" s="34"/>
      <c r="R10" s="139"/>
      <c r="S10" s="136"/>
    </row>
    <row r="11" spans="2:19" s="123" customFormat="1" ht="38.25">
      <c r="B11" s="148" t="s">
        <v>36</v>
      </c>
      <c r="C11" s="124" t="s">
        <v>98</v>
      </c>
      <c r="D11" s="149">
        <v>45993</v>
      </c>
      <c r="E11" s="124">
        <v>1903304</v>
      </c>
      <c r="F11" s="149">
        <v>45987</v>
      </c>
      <c r="G11" s="150" t="s">
        <v>90</v>
      </c>
      <c r="H11" s="151" t="s">
        <v>99</v>
      </c>
      <c r="I11" s="152">
        <v>45994</v>
      </c>
      <c r="J11" s="153">
        <f>46500-24000-16700</f>
        <v>5800</v>
      </c>
      <c r="K11" s="154">
        <v>11.3</v>
      </c>
      <c r="L11" s="154">
        <f>+J11*K11</f>
        <v>65540</v>
      </c>
      <c r="M11" s="154">
        <f>+L11*18%</f>
        <v>11797.199999999999</v>
      </c>
      <c r="N11" s="155">
        <f>+L11+M11</f>
        <v>77337.2</v>
      </c>
      <c r="O11" s="156">
        <v>4.569306345077824E-2</v>
      </c>
      <c r="P11" s="157">
        <f>+J11*O11</f>
        <v>265.01976801451377</v>
      </c>
      <c r="Q11" s="125">
        <f ca="1">+$Q$3-I11</f>
        <v>276.52847152778122</v>
      </c>
      <c r="R11" s="159" t="s">
        <v>109</v>
      </c>
      <c r="S11" s="158"/>
    </row>
    <row r="12" spans="2:19" s="123" customFormat="1" ht="23.25" customHeight="1">
      <c r="B12" s="148" t="s">
        <v>36</v>
      </c>
      <c r="C12" s="124" t="s">
        <v>101</v>
      </c>
      <c r="D12" s="149">
        <v>46003</v>
      </c>
      <c r="E12" s="124">
        <v>1903341</v>
      </c>
      <c r="F12" s="149">
        <v>46016</v>
      </c>
      <c r="G12" s="150" t="s">
        <v>90</v>
      </c>
      <c r="H12" s="151" t="s">
        <v>102</v>
      </c>
      <c r="I12" s="152">
        <v>46004</v>
      </c>
      <c r="J12" s="153">
        <v>6000</v>
      </c>
      <c r="K12" s="154">
        <v>11.3</v>
      </c>
      <c r="L12" s="154">
        <f>+J12*K12</f>
        <v>67800</v>
      </c>
      <c r="M12" s="154">
        <f>+L12*18%</f>
        <v>12204</v>
      </c>
      <c r="N12" s="155">
        <f>+L12+M12</f>
        <v>80004</v>
      </c>
      <c r="O12" s="156">
        <v>4.569306345077824E-2</v>
      </c>
      <c r="P12" s="157">
        <f>+J12*O12</f>
        <v>274.15838070466947</v>
      </c>
      <c r="Q12" s="125">
        <f ca="1">+$Q$3-I12</f>
        <v>266.52847152778122</v>
      </c>
      <c r="R12" s="159" t="s">
        <v>103</v>
      </c>
      <c r="S12" s="158"/>
    </row>
    <row r="13" spans="2:19" s="3" customFormat="1" ht="18" customHeight="1">
      <c r="B13" s="7"/>
      <c r="C13" s="23"/>
      <c r="D13" s="137"/>
      <c r="E13" s="23"/>
      <c r="F13" s="23"/>
      <c r="G13" s="23"/>
      <c r="H13" s="138"/>
      <c r="I13" s="137"/>
      <c r="J13" s="5"/>
      <c r="K13" s="29"/>
      <c r="L13" s="29"/>
      <c r="M13" s="23"/>
      <c r="N13" s="23"/>
      <c r="O13" s="144"/>
      <c r="P13" s="138"/>
      <c r="Q13" s="30"/>
      <c r="R13" s="139"/>
      <c r="S13" s="136"/>
    </row>
    <row r="14" spans="2:19" s="3" customFormat="1" ht="18" customHeight="1">
      <c r="B14" s="197" t="s">
        <v>3</v>
      </c>
      <c r="C14" s="197"/>
      <c r="D14" s="197"/>
      <c r="E14" s="197"/>
      <c r="F14" s="197"/>
      <c r="G14" s="197"/>
      <c r="H14" s="197"/>
      <c r="I14" s="197"/>
      <c r="J14" s="171">
        <f>SUM(J11:J13)</f>
        <v>11800</v>
      </c>
      <c r="K14" s="34"/>
      <c r="L14" s="34">
        <f>SUM(L11:L13)</f>
        <v>133340</v>
      </c>
      <c r="M14" s="34">
        <f>SUM(M11:M13)</f>
        <v>24001.199999999997</v>
      </c>
      <c r="N14" s="34">
        <f>SUM(N11:N13)</f>
        <v>157341.20000000001</v>
      </c>
      <c r="O14" s="145"/>
      <c r="P14" s="36">
        <f>SUM(P11:P13)</f>
        <v>539.17814871918324</v>
      </c>
      <c r="Q14" s="34"/>
      <c r="R14" s="34"/>
      <c r="S14" s="136"/>
    </row>
    <row r="15" spans="2:19" s="3" customFormat="1" ht="23.25" hidden="1" customHeight="1">
      <c r="B15" s="148" t="s">
        <v>50</v>
      </c>
      <c r="C15" s="124" t="s">
        <v>91</v>
      </c>
      <c r="D15" s="149" t="s">
        <v>91</v>
      </c>
      <c r="E15" s="124">
        <v>1903208</v>
      </c>
      <c r="F15" s="149">
        <v>45918</v>
      </c>
      <c r="G15" s="150" t="s">
        <v>90</v>
      </c>
      <c r="H15" s="151" t="s">
        <v>92</v>
      </c>
      <c r="I15" s="152">
        <v>45924</v>
      </c>
      <c r="J15" s="153">
        <f>25000-24692</f>
        <v>308</v>
      </c>
      <c r="K15" s="154">
        <v>10.9</v>
      </c>
      <c r="L15" s="154">
        <f>+J15*K15</f>
        <v>3357.2000000000003</v>
      </c>
      <c r="M15" s="154">
        <f>+L15*18%</f>
        <v>604.29600000000005</v>
      </c>
      <c r="N15" s="155">
        <f>+L15+M15</f>
        <v>3961.4960000000001</v>
      </c>
      <c r="O15" s="156">
        <v>4.2000000000000003E-2</v>
      </c>
      <c r="P15" s="157">
        <f>+J15*O15</f>
        <v>12.936</v>
      </c>
      <c r="Q15" s="125">
        <f ca="1">+$Q$3-I15</f>
        <v>346.52847152778122</v>
      </c>
      <c r="R15" s="159" t="s">
        <v>93</v>
      </c>
      <c r="S15" s="136"/>
    </row>
    <row r="16" spans="2:19" s="3" customFormat="1" ht="18" hidden="1" customHeight="1">
      <c r="B16" s="7"/>
      <c r="C16" s="23"/>
      <c r="D16" s="137"/>
      <c r="E16" s="23"/>
      <c r="F16" s="23"/>
      <c r="G16" s="23"/>
      <c r="H16" s="138"/>
      <c r="I16" s="137"/>
      <c r="J16" s="5"/>
      <c r="K16" s="29"/>
      <c r="L16" s="29"/>
      <c r="M16" s="23"/>
      <c r="N16" s="23"/>
      <c r="O16" s="144"/>
      <c r="P16" s="138"/>
      <c r="Q16" s="30"/>
      <c r="R16" s="139"/>
      <c r="S16" s="136"/>
    </row>
    <row r="17" spans="2:19" s="3" customFormat="1" ht="18" hidden="1" customHeight="1">
      <c r="B17" s="197" t="s">
        <v>3</v>
      </c>
      <c r="C17" s="197"/>
      <c r="D17" s="197"/>
      <c r="E17" s="197"/>
      <c r="F17" s="197"/>
      <c r="G17" s="197"/>
      <c r="H17" s="197"/>
      <c r="I17" s="197"/>
      <c r="J17" s="173">
        <f>SUM(J15:J16)</f>
        <v>308</v>
      </c>
      <c r="K17" s="34"/>
      <c r="L17" s="34">
        <f>SUM(L15:L16)</f>
        <v>3357.2000000000003</v>
      </c>
      <c r="M17" s="34">
        <f>SUM(M15:M16)</f>
        <v>604.29600000000005</v>
      </c>
      <c r="N17" s="34">
        <f>SUM(N15:N16)</f>
        <v>3961.4960000000001</v>
      </c>
      <c r="O17" s="145"/>
      <c r="P17" s="36">
        <f>SUM(P15:P16)</f>
        <v>12.936</v>
      </c>
      <c r="Q17" s="34"/>
      <c r="R17" s="139"/>
      <c r="S17" s="136"/>
    </row>
    <row r="18" spans="2:19" s="123" customFormat="1" ht="23.25" hidden="1" customHeight="1">
      <c r="B18" s="148" t="s">
        <v>69</v>
      </c>
      <c r="C18" s="124" t="s">
        <v>89</v>
      </c>
      <c r="D18" s="149">
        <v>45864</v>
      </c>
      <c r="E18" s="124">
        <v>1902991</v>
      </c>
      <c r="F18" s="149">
        <v>45855</v>
      </c>
      <c r="G18" s="150" t="s">
        <v>90</v>
      </c>
      <c r="H18" s="151" t="s">
        <v>91</v>
      </c>
      <c r="I18" s="152">
        <v>45874</v>
      </c>
      <c r="J18" s="153">
        <v>1167</v>
      </c>
      <c r="K18" s="154">
        <v>25.91</v>
      </c>
      <c r="L18" s="154">
        <f>+J18*K18</f>
        <v>30236.97</v>
      </c>
      <c r="M18" s="154">
        <f>+L18*18%</f>
        <v>5442.6545999999998</v>
      </c>
      <c r="N18" s="155">
        <f>+L18+M18</f>
        <v>35679.624600000003</v>
      </c>
      <c r="O18" s="156">
        <v>0.113</v>
      </c>
      <c r="P18" s="157">
        <f>+J18*O18</f>
        <v>131.87100000000001</v>
      </c>
      <c r="Q18" s="125">
        <f ca="1">+$Q$3-I18</f>
        <v>396.52847152778122</v>
      </c>
      <c r="R18" s="159"/>
      <c r="S18" s="158"/>
    </row>
    <row r="19" spans="2:19" s="3" customFormat="1" ht="18" hidden="1" customHeight="1">
      <c r="B19" s="7"/>
      <c r="C19" s="23"/>
      <c r="D19" s="137"/>
      <c r="E19" s="23"/>
      <c r="F19" s="23"/>
      <c r="G19" s="23"/>
      <c r="H19" s="138"/>
      <c r="I19" s="137"/>
      <c r="J19" s="5"/>
      <c r="K19" s="29"/>
      <c r="L19" s="29"/>
      <c r="M19" s="23"/>
      <c r="N19" s="23"/>
      <c r="O19" s="144"/>
      <c r="P19" s="138"/>
      <c r="Q19" s="30"/>
      <c r="R19" s="139"/>
      <c r="S19" s="136"/>
    </row>
    <row r="20" spans="2:19" s="3" customFormat="1" ht="18" hidden="1" customHeight="1">
      <c r="B20" s="197" t="s">
        <v>3</v>
      </c>
      <c r="C20" s="197"/>
      <c r="D20" s="197"/>
      <c r="E20" s="197"/>
      <c r="F20" s="197"/>
      <c r="G20" s="197"/>
      <c r="H20" s="197"/>
      <c r="I20" s="197"/>
      <c r="J20" s="173">
        <f>SUM(J18:J19)</f>
        <v>1167</v>
      </c>
      <c r="K20" s="34"/>
      <c r="L20" s="34">
        <f>SUM(L18:L19)</f>
        <v>30236.97</v>
      </c>
      <c r="M20" s="34">
        <f>SUM(M18:M19)</f>
        <v>5442.6545999999998</v>
      </c>
      <c r="N20" s="34">
        <f>SUM(N18:N19)</f>
        <v>35679.624600000003</v>
      </c>
      <c r="O20" s="145"/>
      <c r="P20" s="36">
        <f>SUM(P18:P19)</f>
        <v>131.87100000000001</v>
      </c>
      <c r="Q20" s="34"/>
      <c r="R20" s="139"/>
      <c r="S20" s="136"/>
    </row>
    <row r="21" spans="2:19" s="123" customFormat="1" ht="38.25">
      <c r="B21" s="148" t="s">
        <v>35</v>
      </c>
      <c r="C21" s="124" t="s">
        <v>106</v>
      </c>
      <c r="D21" s="149">
        <v>46014</v>
      </c>
      <c r="E21" s="124">
        <v>1903367</v>
      </c>
      <c r="F21" s="149">
        <v>46011</v>
      </c>
      <c r="G21" s="150" t="s">
        <v>90</v>
      </c>
      <c r="H21" s="151" t="s">
        <v>107</v>
      </c>
      <c r="I21" s="152">
        <v>46017</v>
      </c>
      <c r="J21" s="153">
        <f>60000-24000-34490</f>
        <v>1510</v>
      </c>
      <c r="K21" s="154">
        <v>7.52</v>
      </c>
      <c r="L21" s="154">
        <f>+J21*K21</f>
        <v>11355.199999999999</v>
      </c>
      <c r="M21" s="154">
        <f>+L21*18%</f>
        <v>2043.9359999999997</v>
      </c>
      <c r="N21" s="155">
        <f>+L21+M21</f>
        <v>13399.135999999999</v>
      </c>
      <c r="O21" s="156">
        <v>2.4E-2</v>
      </c>
      <c r="P21" s="157">
        <f>+J21*O21</f>
        <v>36.24</v>
      </c>
      <c r="Q21" s="125">
        <f ca="1">+$Q$3-I21</f>
        <v>253.52847152778122</v>
      </c>
      <c r="R21" s="159" t="s">
        <v>110</v>
      </c>
      <c r="S21" s="158"/>
    </row>
    <row r="22" spans="2:19" s="3" customFormat="1" ht="18" customHeight="1">
      <c r="B22" s="7"/>
      <c r="C22" s="23"/>
      <c r="D22" s="137"/>
      <c r="E22" s="23"/>
      <c r="F22" s="23"/>
      <c r="G22" s="23"/>
      <c r="H22" s="138"/>
      <c r="I22" s="137"/>
      <c r="J22" s="5"/>
      <c r="K22" s="29"/>
      <c r="L22" s="29"/>
      <c r="M22" s="23"/>
      <c r="N22" s="23"/>
      <c r="O22" s="144"/>
      <c r="P22" s="138"/>
      <c r="Q22" s="30"/>
      <c r="R22" s="139"/>
      <c r="S22" s="136"/>
    </row>
    <row r="23" spans="2:19" s="3" customFormat="1" ht="18" customHeight="1">
      <c r="B23" s="197" t="s">
        <v>3</v>
      </c>
      <c r="C23" s="197"/>
      <c r="D23" s="197"/>
      <c r="E23" s="197"/>
      <c r="F23" s="197"/>
      <c r="G23" s="197"/>
      <c r="H23" s="197"/>
      <c r="I23" s="197"/>
      <c r="J23" s="173">
        <f>SUM(J21:J22)</f>
        <v>1510</v>
      </c>
      <c r="K23" s="34"/>
      <c r="L23" s="34">
        <f>SUM(L21:L22)</f>
        <v>11355.199999999999</v>
      </c>
      <c r="M23" s="34">
        <f>SUM(M21:M22)</f>
        <v>2043.9359999999997</v>
      </c>
      <c r="N23" s="34">
        <f>SUM(N21:N22)</f>
        <v>13399.135999999999</v>
      </c>
      <c r="O23" s="145"/>
      <c r="P23" s="36">
        <f>SUM(P21:P22)</f>
        <v>36.24</v>
      </c>
      <c r="Q23" s="34"/>
      <c r="R23" s="34"/>
      <c r="S23" s="136"/>
    </row>
    <row r="24" spans="2:19" s="3" customFormat="1" ht="23.25" hidden="1" customHeight="1">
      <c r="B24" s="148" t="s">
        <v>50</v>
      </c>
      <c r="C24" s="124" t="s">
        <v>91</v>
      </c>
      <c r="D24" s="149" t="s">
        <v>91</v>
      </c>
      <c r="E24" s="124">
        <v>1903208</v>
      </c>
      <c r="F24" s="149">
        <v>45918</v>
      </c>
      <c r="G24" s="150" t="s">
        <v>90</v>
      </c>
      <c r="H24" s="151" t="s">
        <v>92</v>
      </c>
      <c r="I24" s="152">
        <v>45924</v>
      </c>
      <c r="J24" s="153">
        <f>25000-24692</f>
        <v>308</v>
      </c>
      <c r="K24" s="154">
        <v>10.9</v>
      </c>
      <c r="L24" s="154">
        <f>+J24*K24</f>
        <v>3357.2000000000003</v>
      </c>
      <c r="M24" s="154">
        <f>+L24*18%</f>
        <v>604.29600000000005</v>
      </c>
      <c r="N24" s="155">
        <f>+L24+M24</f>
        <v>3961.4960000000001</v>
      </c>
      <c r="O24" s="156">
        <v>4.2000000000000003E-2</v>
      </c>
      <c r="P24" s="157">
        <f>+J24*O24</f>
        <v>12.936</v>
      </c>
      <c r="Q24" s="125">
        <f ca="1">+$Q$3-I24</f>
        <v>346.52847152778122</v>
      </c>
      <c r="R24" s="159" t="s">
        <v>93</v>
      </c>
      <c r="S24" s="136"/>
    </row>
    <row r="25" spans="2:19" s="3" customFormat="1" ht="18" hidden="1" customHeight="1">
      <c r="B25" s="7"/>
      <c r="C25" s="23"/>
      <c r="D25" s="137"/>
      <c r="E25" s="23"/>
      <c r="F25" s="23"/>
      <c r="G25" s="23"/>
      <c r="H25" s="138"/>
      <c r="I25" s="137"/>
      <c r="J25" s="5"/>
      <c r="K25" s="29"/>
      <c r="L25" s="29"/>
      <c r="M25" s="23"/>
      <c r="N25" s="23"/>
      <c r="O25" s="144"/>
      <c r="P25" s="138"/>
      <c r="Q25" s="30"/>
      <c r="R25" s="139"/>
      <c r="S25" s="136"/>
    </row>
    <row r="26" spans="2:19" s="3" customFormat="1" ht="18" hidden="1" customHeight="1">
      <c r="B26" s="197" t="s">
        <v>3</v>
      </c>
      <c r="C26" s="197"/>
      <c r="D26" s="197"/>
      <c r="E26" s="197"/>
      <c r="F26" s="197"/>
      <c r="G26" s="197"/>
      <c r="H26" s="197"/>
      <c r="I26" s="197"/>
      <c r="J26" s="172">
        <f>SUM(J24:J25)</f>
        <v>308</v>
      </c>
      <c r="K26" s="34"/>
      <c r="L26" s="34">
        <f>SUM(L24:L25)</f>
        <v>3357.2000000000003</v>
      </c>
      <c r="M26" s="34">
        <f>SUM(M24:M25)</f>
        <v>604.29600000000005</v>
      </c>
      <c r="N26" s="34">
        <f>SUM(N24:N25)</f>
        <v>3961.4960000000001</v>
      </c>
      <c r="O26" s="145"/>
      <c r="P26" s="36">
        <f>SUM(P24:P25)</f>
        <v>12.936</v>
      </c>
      <c r="Q26" s="34"/>
      <c r="R26" s="139"/>
      <c r="S26" s="136"/>
    </row>
    <row r="27" spans="2:19" s="123" customFormat="1" ht="23.25" hidden="1" customHeight="1">
      <c r="B27" s="148" t="s">
        <v>69</v>
      </c>
      <c r="C27" s="124" t="s">
        <v>89</v>
      </c>
      <c r="D27" s="149">
        <v>45864</v>
      </c>
      <c r="E27" s="124">
        <v>1902991</v>
      </c>
      <c r="F27" s="149">
        <v>45855</v>
      </c>
      <c r="G27" s="150" t="s">
        <v>90</v>
      </c>
      <c r="H27" s="151" t="s">
        <v>91</v>
      </c>
      <c r="I27" s="152">
        <v>45874</v>
      </c>
      <c r="J27" s="153">
        <v>1167</v>
      </c>
      <c r="K27" s="154">
        <v>25.91</v>
      </c>
      <c r="L27" s="154">
        <f>+J27*K27</f>
        <v>30236.97</v>
      </c>
      <c r="M27" s="154">
        <f>+L27*18%</f>
        <v>5442.6545999999998</v>
      </c>
      <c r="N27" s="155">
        <f>+L27+M27</f>
        <v>35679.624600000003</v>
      </c>
      <c r="O27" s="156">
        <v>0.113</v>
      </c>
      <c r="P27" s="157">
        <f>+J27*O27</f>
        <v>131.87100000000001</v>
      </c>
      <c r="Q27" s="125">
        <f ca="1">+$Q$3-I27</f>
        <v>396.52847152778122</v>
      </c>
      <c r="R27" s="159"/>
      <c r="S27" s="158"/>
    </row>
    <row r="28" spans="2:19" s="3" customFormat="1" ht="18" hidden="1" customHeight="1">
      <c r="B28" s="7"/>
      <c r="C28" s="23"/>
      <c r="D28" s="137"/>
      <c r="E28" s="23"/>
      <c r="F28" s="23"/>
      <c r="G28" s="23"/>
      <c r="H28" s="138"/>
      <c r="I28" s="137"/>
      <c r="J28" s="5"/>
      <c r="K28" s="29"/>
      <c r="L28" s="29"/>
      <c r="M28" s="23"/>
      <c r="N28" s="23"/>
      <c r="O28" s="144"/>
      <c r="P28" s="138"/>
      <c r="Q28" s="30"/>
      <c r="R28" s="139"/>
      <c r="S28" s="136"/>
    </row>
    <row r="29" spans="2:19" s="3" customFormat="1" ht="18" hidden="1" customHeight="1">
      <c r="B29" s="197" t="s">
        <v>3</v>
      </c>
      <c r="C29" s="197"/>
      <c r="D29" s="197"/>
      <c r="E29" s="197"/>
      <c r="F29" s="197"/>
      <c r="G29" s="197"/>
      <c r="H29" s="197"/>
      <c r="I29" s="197"/>
      <c r="J29" s="172">
        <f>SUM(J27:J28)</f>
        <v>1167</v>
      </c>
      <c r="K29" s="34"/>
      <c r="L29" s="34">
        <f>SUM(L27:L28)</f>
        <v>30236.97</v>
      </c>
      <c r="M29" s="34">
        <f>SUM(M27:M28)</f>
        <v>5442.6545999999998</v>
      </c>
      <c r="N29" s="34">
        <f>SUM(N27:N28)</f>
        <v>35679.624600000003</v>
      </c>
      <c r="O29" s="145"/>
      <c r="P29" s="36">
        <f>SUM(P27:P28)</f>
        <v>131.87100000000001</v>
      </c>
      <c r="Q29" s="34"/>
      <c r="R29" s="139"/>
      <c r="S29" s="136"/>
    </row>
    <row r="30" spans="2:19" s="123" customFormat="1" ht="23.25" customHeight="1">
      <c r="B30" s="148" t="s">
        <v>69</v>
      </c>
      <c r="C30" s="124" t="s">
        <v>104</v>
      </c>
      <c r="D30" s="149">
        <v>45980</v>
      </c>
      <c r="E30" s="124"/>
      <c r="F30" s="149"/>
      <c r="G30" s="150" t="s">
        <v>90</v>
      </c>
      <c r="H30" s="151" t="s">
        <v>105</v>
      </c>
      <c r="I30" s="152">
        <v>46008</v>
      </c>
      <c r="J30" s="153">
        <v>1184</v>
      </c>
      <c r="K30" s="154">
        <v>25.54</v>
      </c>
      <c r="L30" s="154">
        <f>+J30*K30</f>
        <v>30239.360000000001</v>
      </c>
      <c r="M30" s="154">
        <f>+L30*18%</f>
        <v>5443.0847999999996</v>
      </c>
      <c r="N30" s="155">
        <f>+L30+M30</f>
        <v>35682.444799999997</v>
      </c>
      <c r="O30" s="156">
        <v>0.113</v>
      </c>
      <c r="P30" s="157">
        <f>+J30*O30</f>
        <v>133.792</v>
      </c>
      <c r="Q30" s="125">
        <f ca="1">+$Q$3-I30</f>
        <v>262.52847152778122</v>
      </c>
      <c r="R30" s="159" t="s">
        <v>108</v>
      </c>
      <c r="S30" s="158"/>
    </row>
    <row r="31" spans="2:19" s="3" customFormat="1" ht="18" customHeight="1">
      <c r="B31" s="7"/>
      <c r="C31" s="23"/>
      <c r="D31" s="137"/>
      <c r="E31" s="23"/>
      <c r="F31" s="23"/>
      <c r="G31" s="23"/>
      <c r="H31" s="138"/>
      <c r="I31" s="137"/>
      <c r="J31" s="5"/>
      <c r="K31" s="29"/>
      <c r="L31" s="29"/>
      <c r="M31" s="23"/>
      <c r="N31" s="23"/>
      <c r="O31" s="144"/>
      <c r="P31" s="138"/>
      <c r="Q31" s="30"/>
      <c r="R31" s="139"/>
      <c r="S31" s="136"/>
    </row>
    <row r="32" spans="2:19" s="3" customFormat="1" ht="18" customHeight="1">
      <c r="B32" s="197" t="s">
        <v>3</v>
      </c>
      <c r="C32" s="197"/>
      <c r="D32" s="197"/>
      <c r="E32" s="197"/>
      <c r="F32" s="197"/>
      <c r="G32" s="197"/>
      <c r="H32" s="197"/>
      <c r="I32" s="197"/>
      <c r="J32" s="172">
        <f>SUM(J30:J31)</f>
        <v>1184</v>
      </c>
      <c r="K32" s="34"/>
      <c r="L32" s="34">
        <f>SUM(L30:L31)</f>
        <v>30239.360000000001</v>
      </c>
      <c r="M32" s="34">
        <f>SUM(M30:M31)</f>
        <v>5443.0847999999996</v>
      </c>
      <c r="N32" s="34">
        <f>SUM(N30:N31)</f>
        <v>35682.444799999997</v>
      </c>
      <c r="O32" s="145"/>
      <c r="P32" s="36">
        <f>SUM(P30:P31)</f>
        <v>133.792</v>
      </c>
      <c r="Q32" s="34"/>
      <c r="R32" s="34"/>
      <c r="S32" s="136"/>
    </row>
    <row r="33" spans="2:19" s="123" customFormat="1" ht="23.25" customHeight="1">
      <c r="B33" s="148" t="s">
        <v>49</v>
      </c>
      <c r="C33" s="124" t="s">
        <v>115</v>
      </c>
      <c r="D33" s="149">
        <v>46162</v>
      </c>
      <c r="E33" s="124">
        <v>1903611</v>
      </c>
      <c r="F33" s="149">
        <v>46154</v>
      </c>
      <c r="G33" s="150" t="s">
        <v>90</v>
      </c>
      <c r="H33" s="151" t="s">
        <v>91</v>
      </c>
      <c r="I33" s="152">
        <v>46177</v>
      </c>
      <c r="J33" s="153">
        <v>2459</v>
      </c>
      <c r="K33" s="154">
        <v>7.27</v>
      </c>
      <c r="L33" s="154">
        <f>+J33*K33</f>
        <v>17876.93</v>
      </c>
      <c r="M33" s="154">
        <f>+L33*18%</f>
        <v>3217.8474000000001</v>
      </c>
      <c r="N33" s="155">
        <f>+L33+M33</f>
        <v>21094.777399999999</v>
      </c>
      <c r="O33" s="156">
        <v>2.3E-2</v>
      </c>
      <c r="P33" s="157">
        <f>+J33*O33</f>
        <v>56.557000000000002</v>
      </c>
      <c r="Q33" s="125">
        <f ca="1">+$Q$3-I33</f>
        <v>93.528471527781221</v>
      </c>
      <c r="R33" s="159"/>
      <c r="S33" s="158"/>
    </row>
    <row r="34" spans="2:19" s="3" customFormat="1" ht="18" customHeight="1">
      <c r="B34" s="7"/>
      <c r="C34" s="23"/>
      <c r="D34" s="137"/>
      <c r="E34" s="23"/>
      <c r="F34" s="23"/>
      <c r="G34" s="23"/>
      <c r="H34" s="138"/>
      <c r="I34" s="137"/>
      <c r="J34" s="5"/>
      <c r="K34" s="29"/>
      <c r="L34" s="29"/>
      <c r="M34" s="23"/>
      <c r="N34" s="23"/>
      <c r="O34" s="144"/>
      <c r="P34" s="138"/>
      <c r="Q34" s="30"/>
      <c r="R34" s="139"/>
      <c r="S34" s="136"/>
    </row>
    <row r="35" spans="2:19" s="3" customFormat="1" ht="18" customHeight="1">
      <c r="B35" s="197" t="s">
        <v>3</v>
      </c>
      <c r="C35" s="197"/>
      <c r="D35" s="197"/>
      <c r="E35" s="197"/>
      <c r="F35" s="197"/>
      <c r="G35" s="197"/>
      <c r="H35" s="197"/>
      <c r="I35" s="197"/>
      <c r="J35" s="177">
        <f>SUM(J33:J34)</f>
        <v>2459</v>
      </c>
      <c r="K35" s="34"/>
      <c r="L35" s="34">
        <f>SUM(L33:L34)</f>
        <v>17876.93</v>
      </c>
      <c r="M35" s="34">
        <f>SUM(M33:M34)</f>
        <v>3217.8474000000001</v>
      </c>
      <c r="N35" s="34">
        <f>SUM(N33:N34)</f>
        <v>21094.777399999999</v>
      </c>
      <c r="O35" s="145"/>
      <c r="P35" s="36">
        <f>SUM(P33:P34)</f>
        <v>56.557000000000002</v>
      </c>
      <c r="Q35" s="34"/>
      <c r="R35" s="34"/>
      <c r="S35" s="136"/>
    </row>
  </sheetData>
  <mergeCells count="11">
    <mergeCell ref="B35:I35"/>
    <mergeCell ref="B29:I29"/>
    <mergeCell ref="B32:I32"/>
    <mergeCell ref="B2:R2"/>
    <mergeCell ref="B7:I7"/>
    <mergeCell ref="B10:I10"/>
    <mergeCell ref="B14:I14"/>
    <mergeCell ref="B26:I26"/>
    <mergeCell ref="B17:I17"/>
    <mergeCell ref="B20:I20"/>
    <mergeCell ref="B23:I23"/>
  </mergeCells>
  <conditionalFormatting sqref="D4 D1:D2">
    <cfRule type="cellIs" dxfId="179" priority="16" operator="lessThan">
      <formula>42887</formula>
    </cfRule>
    <cfRule type="cellIs" dxfId="178" priority="17" operator="greaterThan">
      <formula>42887</formula>
    </cfRule>
    <cfRule type="timePeriod" dxfId="177" priority="18" timePeriod="thisMonth">
      <formula>AND(MONTH(D1)=MONTH(TODAY()),YEAR(D1)=YEAR(TODAY()))</formula>
    </cfRule>
  </conditionalFormatting>
  <conditionalFormatting sqref="O3">
    <cfRule type="cellIs" dxfId="176" priority="10" operator="between">
      <formula>150</formula>
      <formula>170</formula>
    </cfRule>
    <cfRule type="cellIs" dxfId="175" priority="11" operator="lessThan">
      <formula>150</formula>
    </cfRule>
    <cfRule type="cellIs" dxfId="174" priority="12" operator="greaterThan">
      <formula>170</formula>
    </cfRule>
    <cfRule type="cellIs" dxfId="173" priority="13" stopIfTrue="1" operator="between">
      <formula>150</formula>
      <formula>170</formula>
    </cfRule>
    <cfRule type="cellIs" dxfId="172" priority="14" stopIfTrue="1" operator="lessThan">
      <formula>150</formula>
    </cfRule>
    <cfRule type="cellIs" dxfId="171" priority="15" stopIfTrue="1" operator="greaterThan">
      <formula>170</formula>
    </cfRule>
  </conditionalFormatting>
  <conditionalFormatting sqref="O3">
    <cfRule type="cellIs" dxfId="170" priority="7" operator="between">
      <formula>150</formula>
      <formula>170</formula>
    </cfRule>
    <cfRule type="cellIs" dxfId="169" priority="8" operator="lessThan">
      <formula>150</formula>
    </cfRule>
    <cfRule type="cellIs" dxfId="168" priority="9" operator="greaterThan">
      <formula>170</formula>
    </cfRule>
  </conditionalFormatting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Receipt</vt:lpstr>
      <vt:lpstr>Type Wise Stock</vt:lpstr>
      <vt:lpstr>Summary</vt:lpstr>
      <vt:lpstr>Sales Statement</vt:lpstr>
      <vt:lpstr>Rejection Details</vt:lpstr>
    </vt:vector>
  </TitlesOfParts>
  <Company>aparna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</dc:creator>
  <cp:lastModifiedBy>Admin</cp:lastModifiedBy>
  <cp:lastPrinted>2026-07-16T05:06:16Z</cp:lastPrinted>
  <dcterms:created xsi:type="dcterms:W3CDTF">2002-03-26T03:39:00Z</dcterms:created>
  <dcterms:modified xsi:type="dcterms:W3CDTF">2026-09-05T07:11:02Z</dcterms:modified>
</cp:coreProperties>
</file>