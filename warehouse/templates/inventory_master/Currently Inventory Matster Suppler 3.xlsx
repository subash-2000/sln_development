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-15" windowWidth="3105" windowHeight="1875" tabRatio="637" activeTab="1"/>
  </bookViews>
  <sheets>
    <sheet name="Total Receipt" sheetId="6" r:id="rId1"/>
    <sheet name="Total Sales" sheetId="5" r:id="rId2"/>
    <sheet name="SKF Stock" sheetId="3" r:id="rId3"/>
    <sheet name="Batch Wise Stock" sheetId="1" r:id="rId4"/>
    <sheet name="Rejection Details" sheetId="7" r:id="rId5"/>
  </sheets>
  <externalReferences>
    <externalReference r:id="rId6"/>
  </externalReferences>
  <definedNames>
    <definedName name="_xlnm._FilterDatabase" localSheetId="0" hidden="1">'Total Receipt'!$B$10:$U$46</definedName>
    <definedName name="_xlnm._FilterDatabase" localSheetId="1" hidden="1">'Total Sales'!$A$9:$S$46</definedName>
  </definedNames>
  <calcPr calcId="125725"/>
</workbook>
</file>

<file path=xl/calcChain.xml><?xml version="1.0" encoding="utf-8"?>
<calcChain xmlns="http://schemas.openxmlformats.org/spreadsheetml/2006/main">
  <c r="K74" i="1"/>
  <c r="J74"/>
  <c r="N72"/>
  <c r="N71"/>
  <c r="N74" s="1"/>
  <c r="K70"/>
  <c r="J70"/>
  <c r="N68"/>
  <c r="N67"/>
  <c r="N66"/>
  <c r="N65"/>
  <c r="N64"/>
  <c r="N63"/>
  <c r="N62"/>
  <c r="N70" s="1"/>
  <c r="K61"/>
  <c r="J61"/>
  <c r="N59"/>
  <c r="N58"/>
  <c r="N57"/>
  <c r="N56"/>
  <c r="N55"/>
  <c r="N54"/>
  <c r="N61" s="1"/>
  <c r="K53"/>
  <c r="J53"/>
  <c r="N51"/>
  <c r="N50"/>
  <c r="N53" s="1"/>
  <c r="K50"/>
  <c r="J50"/>
  <c r="N48"/>
  <c r="N47"/>
  <c r="K47"/>
  <c r="J47"/>
  <c r="N45"/>
  <c r="N42"/>
  <c r="N41"/>
  <c r="K41"/>
  <c r="J41"/>
  <c r="K40"/>
  <c r="N40" s="1"/>
  <c r="J40"/>
  <c r="N39"/>
  <c r="N38"/>
  <c r="N37"/>
  <c r="K37"/>
  <c r="J37"/>
  <c r="J44" s="1"/>
  <c r="K36"/>
  <c r="N36" s="1"/>
  <c r="J36"/>
  <c r="N35"/>
  <c r="K34"/>
  <c r="K44" s="1"/>
  <c r="J34"/>
  <c r="K33"/>
  <c r="J33"/>
  <c r="N31"/>
  <c r="N30"/>
  <c r="N33" s="1"/>
  <c r="K30"/>
  <c r="J30"/>
  <c r="N28"/>
  <c r="K27"/>
  <c r="J27"/>
  <c r="N25"/>
  <c r="N24"/>
  <c r="N23"/>
  <c r="N22"/>
  <c r="N21"/>
  <c r="N20"/>
  <c r="N27" s="1"/>
  <c r="K19"/>
  <c r="J19"/>
  <c r="N17"/>
  <c r="N19" s="1"/>
  <c r="K16"/>
  <c r="J16"/>
  <c r="N14"/>
  <c r="N16" s="1"/>
  <c r="K13"/>
  <c r="J13"/>
  <c r="N11"/>
  <c r="N13" s="1"/>
  <c r="K10"/>
  <c r="J10"/>
  <c r="N8"/>
  <c r="N10" s="1"/>
  <c r="K7"/>
  <c r="J7"/>
  <c r="N5"/>
  <c r="N7" s="1"/>
  <c r="E3"/>
  <c r="N2"/>
  <c r="P72" s="1"/>
  <c r="H20" i="3"/>
  <c r="I20" s="1"/>
  <c r="G20"/>
  <c r="F20"/>
  <c r="E20"/>
  <c r="H19"/>
  <c r="I19" s="1"/>
  <c r="G19"/>
  <c r="F19"/>
  <c r="E19"/>
  <c r="H18"/>
  <c r="I18" s="1"/>
  <c r="G18"/>
  <c r="F18"/>
  <c r="E18"/>
  <c r="H17"/>
  <c r="I17" s="1"/>
  <c r="G17"/>
  <c r="F17"/>
  <c r="E17"/>
  <c r="H16"/>
  <c r="I16" s="1"/>
  <c r="G16"/>
  <c r="F16"/>
  <c r="E16"/>
  <c r="H15"/>
  <c r="I15" s="1"/>
  <c r="G15"/>
  <c r="F15"/>
  <c r="E15"/>
  <c r="H14"/>
  <c r="I14" s="1"/>
  <c r="G14"/>
  <c r="F14"/>
  <c r="E14"/>
  <c r="H13"/>
  <c r="I13" s="1"/>
  <c r="G13"/>
  <c r="F13"/>
  <c r="E13"/>
  <c r="H12"/>
  <c r="I12" s="1"/>
  <c r="G12"/>
  <c r="F12"/>
  <c r="E12"/>
  <c r="H11"/>
  <c r="I11" s="1"/>
  <c r="G11"/>
  <c r="F11"/>
  <c r="E11"/>
  <c r="H10"/>
  <c r="I10" s="1"/>
  <c r="G10"/>
  <c r="F10"/>
  <c r="E10"/>
  <c r="I9"/>
  <c r="H9"/>
  <c r="G9"/>
  <c r="F9"/>
  <c r="E9"/>
  <c r="H8"/>
  <c r="I8" s="1"/>
  <c r="G8"/>
  <c r="F8"/>
  <c r="E8"/>
  <c r="I7"/>
  <c r="H7"/>
  <c r="G7"/>
  <c r="F7"/>
  <c r="E7"/>
  <c r="H6"/>
  <c r="H22" s="1"/>
  <c r="G6"/>
  <c r="G22" s="1"/>
  <c r="F6"/>
  <c r="F22" s="1"/>
  <c r="E6"/>
  <c r="E22" s="1"/>
  <c r="D24" s="1"/>
  <c r="I4"/>
  <c r="P30" i="5"/>
  <c r="Q30" s="1"/>
  <c r="P31"/>
  <c r="Q31" s="1"/>
  <c r="P32"/>
  <c r="Q32" s="1"/>
  <c r="P33"/>
  <c r="Q33" s="1"/>
  <c r="P34"/>
  <c r="Q34" s="1"/>
  <c r="R34"/>
  <c r="P35"/>
  <c r="Q35" s="1"/>
  <c r="R35"/>
  <c r="P36"/>
  <c r="Q36" s="1"/>
  <c r="R36"/>
  <c r="P37"/>
  <c r="Q37" s="1"/>
  <c r="R37"/>
  <c r="P38"/>
  <c r="Q38" s="1"/>
  <c r="R38"/>
  <c r="P39"/>
  <c r="Q39" s="1"/>
  <c r="R39"/>
  <c r="P40"/>
  <c r="Q40" s="1"/>
  <c r="R40"/>
  <c r="P41"/>
  <c r="Q41" s="1"/>
  <c r="R41"/>
  <c r="P42"/>
  <c r="Q42" s="1"/>
  <c r="R42"/>
  <c r="P43"/>
  <c r="Q43" s="1"/>
  <c r="R43"/>
  <c r="P44"/>
  <c r="Q44" s="1"/>
  <c r="R44"/>
  <c r="P5" i="1" l="1"/>
  <c r="P8"/>
  <c r="P11"/>
  <c r="P14"/>
  <c r="P17"/>
  <c r="P20"/>
  <c r="O21"/>
  <c r="P22"/>
  <c r="O23"/>
  <c r="P24"/>
  <c r="O25"/>
  <c r="O28"/>
  <c r="O31"/>
  <c r="O34"/>
  <c r="P35"/>
  <c r="O36"/>
  <c r="P37"/>
  <c r="O38"/>
  <c r="P39"/>
  <c r="O40"/>
  <c r="P41"/>
  <c r="O42"/>
  <c r="O45"/>
  <c r="O48"/>
  <c r="O51"/>
  <c r="O54"/>
  <c r="P55"/>
  <c r="O56"/>
  <c r="P57"/>
  <c r="O58"/>
  <c r="P59"/>
  <c r="P62"/>
  <c r="O63"/>
  <c r="P64"/>
  <c r="O65"/>
  <c r="P66"/>
  <c r="O67"/>
  <c r="P68"/>
  <c r="P71"/>
  <c r="O72"/>
  <c r="O5"/>
  <c r="O8"/>
  <c r="O11"/>
  <c r="O14"/>
  <c r="O17"/>
  <c r="O20"/>
  <c r="P21"/>
  <c r="O22"/>
  <c r="P23"/>
  <c r="O24"/>
  <c r="P25"/>
  <c r="P28"/>
  <c r="P31"/>
  <c r="N34"/>
  <c r="N44" s="1"/>
  <c r="P34"/>
  <c r="O35"/>
  <c r="P36"/>
  <c r="O37"/>
  <c r="P38"/>
  <c r="O39"/>
  <c r="P40"/>
  <c r="O41"/>
  <c r="P42"/>
  <c r="P45"/>
  <c r="P48"/>
  <c r="P51"/>
  <c r="P54"/>
  <c r="O55"/>
  <c r="P56"/>
  <c r="O57"/>
  <c r="P58"/>
  <c r="O59"/>
  <c r="O62"/>
  <c r="P63"/>
  <c r="O64"/>
  <c r="P65"/>
  <c r="O66"/>
  <c r="P67"/>
  <c r="O68"/>
  <c r="O71"/>
  <c r="I6" i="3"/>
  <c r="I22" s="1"/>
  <c r="S30" i="5"/>
  <c r="S44"/>
  <c r="S43"/>
  <c r="S42"/>
  <c r="S41"/>
  <c r="S40"/>
  <c r="S39"/>
  <c r="S38"/>
  <c r="S37"/>
  <c r="S36"/>
  <c r="S35"/>
  <c r="S34"/>
  <c r="R33"/>
  <c r="S33" s="1"/>
  <c r="R32"/>
  <c r="S32" s="1"/>
  <c r="R31"/>
  <c r="R30"/>
  <c r="S31"/>
  <c r="R44" i="6" l="1"/>
  <c r="S44" s="1"/>
  <c r="T44" s="1"/>
  <c r="R43"/>
  <c r="S43" s="1"/>
  <c r="T43" s="1"/>
  <c r="O44"/>
  <c r="O43"/>
  <c r="R42" l="1"/>
  <c r="S42" s="1"/>
  <c r="T42" s="1"/>
  <c r="R41"/>
  <c r="S41" s="1"/>
  <c r="T41" s="1"/>
  <c r="R40"/>
  <c r="S40" s="1"/>
  <c r="T40" s="1"/>
  <c r="R39"/>
  <c r="S39" s="1"/>
  <c r="T39" s="1"/>
  <c r="R38"/>
  <c r="S38" s="1"/>
  <c r="T38" s="1"/>
  <c r="R37"/>
  <c r="S37" s="1"/>
  <c r="T37" s="1"/>
  <c r="R36"/>
  <c r="S36" s="1"/>
  <c r="T36" s="1"/>
  <c r="R35"/>
  <c r="S35" s="1"/>
  <c r="T35" s="1"/>
  <c r="O42"/>
  <c r="O41"/>
  <c r="O40"/>
  <c r="O39"/>
  <c r="O38"/>
  <c r="O37"/>
  <c r="O36"/>
  <c r="O35"/>
  <c r="P28" i="5" l="1"/>
  <c r="R28" s="1"/>
  <c r="P29"/>
  <c r="R29" s="1"/>
  <c r="O34" i="6"/>
  <c r="R34"/>
  <c r="Q29" i="5" l="1"/>
  <c r="Q28"/>
  <c r="S29"/>
  <c r="S28"/>
  <c r="S34" i="6"/>
  <c r="T34" s="1"/>
  <c r="P22" i="5" l="1"/>
  <c r="Q22" s="1"/>
  <c r="P23"/>
  <c r="Q23" s="1"/>
  <c r="P24"/>
  <c r="Q24" s="1"/>
  <c r="P25"/>
  <c r="Q25" s="1"/>
  <c r="P26"/>
  <c r="Q26" s="1"/>
  <c r="P27"/>
  <c r="Q27" s="1"/>
  <c r="R27" l="1"/>
  <c r="R26"/>
  <c r="R25"/>
  <c r="R24"/>
  <c r="R23"/>
  <c r="R22"/>
  <c r="S27"/>
  <c r="S26"/>
  <c r="S25"/>
  <c r="S24"/>
  <c r="S23"/>
  <c r="S22"/>
  <c r="R33" i="6" l="1"/>
  <c r="S33" s="1"/>
  <c r="T33" s="1"/>
  <c r="O33"/>
  <c r="R32"/>
  <c r="S32" s="1"/>
  <c r="T32" s="1"/>
  <c r="R31"/>
  <c r="S31" s="1"/>
  <c r="T31" s="1"/>
  <c r="O32"/>
  <c r="O31"/>
  <c r="P15" i="5" l="1"/>
  <c r="R15" s="1"/>
  <c r="P16"/>
  <c r="R16" s="1"/>
  <c r="P17"/>
  <c r="P18"/>
  <c r="P19"/>
  <c r="P20"/>
  <c r="P21"/>
  <c r="Q15" l="1"/>
  <c r="S15" s="1"/>
  <c r="Q16"/>
  <c r="S16" s="1"/>
  <c r="R17"/>
  <c r="Q17"/>
  <c r="Q18"/>
  <c r="R18"/>
  <c r="R19"/>
  <c r="Q19"/>
  <c r="Q20"/>
  <c r="R20"/>
  <c r="Q21"/>
  <c r="R21"/>
  <c r="S20" l="1"/>
  <c r="S18"/>
  <c r="S17"/>
  <c r="S21"/>
  <c r="S19"/>
  <c r="O30" i="6" l="1"/>
  <c r="S30"/>
  <c r="R30"/>
  <c r="T30" s="1"/>
  <c r="O27" l="1"/>
  <c r="O28"/>
  <c r="O29"/>
  <c r="O26"/>
  <c r="O25"/>
  <c r="R29" l="1"/>
  <c r="S29" s="1"/>
  <c r="R28"/>
  <c r="S28" s="1"/>
  <c r="R27"/>
  <c r="S27" s="1"/>
  <c r="T27" s="1"/>
  <c r="R26"/>
  <c r="R25"/>
  <c r="S25" s="1"/>
  <c r="T29" l="1"/>
  <c r="T28"/>
  <c r="T26"/>
  <c r="S26"/>
  <c r="T25"/>
  <c r="O24" l="1"/>
  <c r="O23"/>
  <c r="O22"/>
  <c r="O21"/>
  <c r="O20"/>
  <c r="O19"/>
  <c r="O18"/>
  <c r="O17"/>
  <c r="O16"/>
  <c r="O15"/>
  <c r="O14"/>
  <c r="O13"/>
  <c r="O12"/>
  <c r="O11"/>
  <c r="R24"/>
  <c r="S24" s="1"/>
  <c r="T24" s="1"/>
  <c r="R23"/>
  <c r="S23" s="1"/>
  <c r="T23" s="1"/>
  <c r="R22"/>
  <c r="S22" s="1"/>
  <c r="T22" s="1"/>
  <c r="R21"/>
  <c r="S21" s="1"/>
  <c r="T21" s="1"/>
  <c r="R20"/>
  <c r="S20" s="1"/>
  <c r="T20" s="1"/>
  <c r="R19"/>
  <c r="S19" s="1"/>
  <c r="T19" s="1"/>
  <c r="M46" i="5"/>
  <c r="P10"/>
  <c r="Q10" s="1"/>
  <c r="P11"/>
  <c r="Q11" s="1"/>
  <c r="P12"/>
  <c r="Q12" s="1"/>
  <c r="P13"/>
  <c r="Q13" s="1"/>
  <c r="P14"/>
  <c r="Q14" s="1"/>
  <c r="R13" l="1"/>
  <c r="S13" s="1"/>
  <c r="R11"/>
  <c r="S11" s="1"/>
  <c r="R12"/>
  <c r="S12" s="1"/>
  <c r="R14"/>
  <c r="S14" s="1"/>
  <c r="R10"/>
  <c r="S10" s="1"/>
  <c r="R18" i="6"/>
  <c r="S18" s="1"/>
  <c r="T18" s="1"/>
  <c r="R17"/>
  <c r="S17" s="1"/>
  <c r="T17" s="1"/>
  <c r="R16"/>
  <c r="S16" s="1"/>
  <c r="T16" s="1"/>
  <c r="R15"/>
  <c r="S15" s="1"/>
  <c r="T15" s="1"/>
  <c r="R14"/>
  <c r="S14" s="1"/>
  <c r="T14" s="1"/>
  <c r="R13"/>
  <c r="S13" s="1"/>
  <c r="T13" s="1"/>
  <c r="R12"/>
  <c r="S12" s="1"/>
  <c r="T12" s="1"/>
  <c r="R11"/>
  <c r="S11" s="1"/>
  <c r="T11" s="1"/>
  <c r="N46" i="5" l="1"/>
  <c r="L5" i="7" l="1"/>
  <c r="Q46" i="5" l="1"/>
  <c r="P46"/>
  <c r="S46" l="1"/>
  <c r="R46"/>
  <c r="L10" i="7" l="1"/>
  <c r="O8"/>
  <c r="Q8" s="1"/>
  <c r="Q10" s="1"/>
  <c r="O10" l="1"/>
  <c r="P8"/>
  <c r="P10" s="1"/>
  <c r="R8"/>
  <c r="R10" s="1"/>
  <c r="L7" l="1"/>
  <c r="O5" l="1"/>
  <c r="O7" l="1"/>
  <c r="P5"/>
  <c r="P7" s="1"/>
  <c r="Q5"/>
  <c r="Q7" s="1"/>
  <c r="R5" l="1"/>
  <c r="R7" s="1"/>
  <c r="P46" i="6" l="1"/>
  <c r="O46" l="1"/>
  <c r="R46" l="1"/>
  <c r="T46" l="1"/>
  <c r="S46"/>
</calcChain>
</file>

<file path=xl/sharedStrings.xml><?xml version="1.0" encoding="utf-8"?>
<sst xmlns="http://schemas.openxmlformats.org/spreadsheetml/2006/main" count="1056" uniqueCount="340">
  <si>
    <t>S.Loc</t>
  </si>
  <si>
    <t>INV DT</t>
  </si>
  <si>
    <t>ITEM CODE</t>
  </si>
  <si>
    <t>BATCH NO</t>
  </si>
  <si>
    <t>RATE</t>
  </si>
  <si>
    <t>Total</t>
  </si>
  <si>
    <t xml:space="preserve"> </t>
  </si>
  <si>
    <t xml:space="preserve">ITEM CODE </t>
  </si>
  <si>
    <t xml:space="preserve">Grade </t>
  </si>
  <si>
    <t xml:space="preserve">Guage </t>
  </si>
  <si>
    <t>BANGALORE-DEPOT</t>
  </si>
  <si>
    <t>FACTORY 
INV NO</t>
  </si>
  <si>
    <t xml:space="preserve">L R NO </t>
  </si>
  <si>
    <t>L R DT</t>
  </si>
  <si>
    <t>TRANSPORTER</t>
  </si>
  <si>
    <t>C R R NO</t>
  </si>
  <si>
    <t>REC DT</t>
  </si>
  <si>
    <t>Customer</t>
  </si>
  <si>
    <t>DESCRIPTION</t>
  </si>
  <si>
    <t>BOX</t>
  </si>
  <si>
    <t>QTY NO'S</t>
  </si>
  <si>
    <t>Rate</t>
  </si>
  <si>
    <t>ASSE.VALUE</t>
  </si>
  <si>
    <t>IGST @ 18%</t>
  </si>
  <si>
    <t>INV VALUE</t>
  </si>
  <si>
    <t>Remarks</t>
  </si>
  <si>
    <t>P.O NO</t>
  </si>
  <si>
    <t>Order Date</t>
  </si>
  <si>
    <t>Issue  Inv No</t>
  </si>
  <si>
    <t>Issue Date</t>
  </si>
  <si>
    <t>FACTORY
 INV NO</t>
  </si>
  <si>
    <t>No of Boxes</t>
  </si>
  <si>
    <t>Qty In        Nos</t>
  </si>
  <si>
    <t>Basic Value</t>
  </si>
  <si>
    <t>Invoice Value</t>
  </si>
  <si>
    <t>CGST @ 9%</t>
  </si>
  <si>
    <t>SGST @ 9%</t>
  </si>
  <si>
    <t xml:space="preserve"> NHB REJECTION DETAILS.</t>
  </si>
  <si>
    <t>INV NO</t>
  </si>
  <si>
    <t>TYPE</t>
  </si>
  <si>
    <t>GAUGE</t>
  </si>
  <si>
    <t>Rejected Qty</t>
  </si>
  <si>
    <t>Sale Rate</t>
  </si>
  <si>
    <t>Buy Rate</t>
  </si>
  <si>
    <t>Basic</t>
  </si>
  <si>
    <t>CGST@9%</t>
  </si>
  <si>
    <t>SGST@9%</t>
  </si>
  <si>
    <t>Total Value</t>
  </si>
  <si>
    <t>Agnst W/H Inv No</t>
  </si>
  <si>
    <t>Inv Dt</t>
  </si>
  <si>
    <t>Depot to Plant Inv No</t>
  </si>
  <si>
    <t>Remark</t>
  </si>
  <si>
    <t>Box</t>
  </si>
  <si>
    <t>AUTOMATIVE</t>
  </si>
  <si>
    <t>INDUSTRIAL</t>
  </si>
  <si>
    <t xml:space="preserve">Sy No. 9/1, Sy no 46, Behind </t>
  </si>
  <si>
    <t>Dommasandra Eye Care Center</t>
  </si>
  <si>
    <t xml:space="preserve"> at Dommasnadra, Sarjapura Road,</t>
  </si>
  <si>
    <t>Anekal Taluk, Bangalore-562125</t>
  </si>
  <si>
    <t>GST NO : 29AACCM0082F1ZO</t>
  </si>
  <si>
    <t>KABA</t>
  </si>
  <si>
    <t>G10Q</t>
  </si>
  <si>
    <t>13F1</t>
  </si>
  <si>
    <t>CS0793ESSKQ10M0311</t>
  </si>
  <si>
    <t>7.938 MM(5/16")G10Q BRG STEEL BALLS M3</t>
  </si>
  <si>
    <t>M3</t>
  </si>
  <si>
    <t>BGWVRD0767</t>
  </si>
  <si>
    <t>AJ005626</t>
  </si>
  <si>
    <t>NHB SALES STATEMENT SEPTEMBER-2026</t>
  </si>
  <si>
    <t>NHB RECEIPT STATEMENT SEPTEMBER-2026</t>
  </si>
  <si>
    <t>IN2600005569</t>
  </si>
  <si>
    <t>IN2600005629</t>
  </si>
  <si>
    <t>CS0674EBSKQ10P0311</t>
  </si>
  <si>
    <t>6.747 MM(17/64")G10Q BRG STEEL BALLS P3</t>
  </si>
  <si>
    <t>P3</t>
  </si>
  <si>
    <t>CS0674EBSKQ10S0011</t>
  </si>
  <si>
    <t>6.747 MM(17/64")G10Q BRG STEEL BALLS STD</t>
  </si>
  <si>
    <t>P0</t>
  </si>
  <si>
    <t>CS0873EBSKQ10P0311</t>
  </si>
  <si>
    <t>8.731 MM(11/32")G10Q BRG STEEL BALLS P3</t>
  </si>
  <si>
    <t>CS1111EBSKQ10M0411</t>
  </si>
  <si>
    <t>11.112MM(7/16")G10Q BRG STEEL BALLS M4</t>
  </si>
  <si>
    <t>M4</t>
  </si>
  <si>
    <t>CS1150EBSKQ10P0411</t>
  </si>
  <si>
    <t>11.500 MM G10Q BRG STEEL BALLS P4</t>
  </si>
  <si>
    <t>P4</t>
  </si>
  <si>
    <t>CS1270EBSKQ10P0411</t>
  </si>
  <si>
    <t>12.700MM( 1/2 ")G10Q BRG STEEL BALLS P4</t>
  </si>
  <si>
    <t>CS1150EBSKQ10S0011</t>
  </si>
  <si>
    <t>11.500 MM G10Q BRG STEEL BALLS STD</t>
  </si>
  <si>
    <t>CS0635EBSKQ10M0211</t>
  </si>
  <si>
    <t>6.350 MM (1/4") G10Q BRG STEEL BALLS M2</t>
  </si>
  <si>
    <t>M2</t>
  </si>
  <si>
    <t>CS1150EBSKQ10P0611</t>
  </si>
  <si>
    <t>11.500 MM G10Q BRG STEEL BALLS P6</t>
  </si>
  <si>
    <t>P6</t>
  </si>
  <si>
    <t>CS1150EBSKQ10M0411</t>
  </si>
  <si>
    <t>11.500 MM G10Q BRG STEEL BALLS M4</t>
  </si>
  <si>
    <t>CS0714EBSKQ10M0211</t>
  </si>
  <si>
    <t>7.144 MM(9/32")G10Q BRG STEEL BALLS M2</t>
  </si>
  <si>
    <t>AJ011367A</t>
  </si>
  <si>
    <t>AJ011372A</t>
  </si>
  <si>
    <t>AJ011376A</t>
  </si>
  <si>
    <t>AJ011377A</t>
  </si>
  <si>
    <t>AJ011382A</t>
  </si>
  <si>
    <t>AJ011187A</t>
  </si>
  <si>
    <t>AJ011209A</t>
  </si>
  <si>
    <t>AJ011706</t>
  </si>
  <si>
    <t>AJ011525A</t>
  </si>
  <si>
    <t>AJ011198B</t>
  </si>
  <si>
    <t>AJ011440</t>
  </si>
  <si>
    <t>AJ011198A</t>
  </si>
  <si>
    <t>AJ011707</t>
  </si>
  <si>
    <t>AJ011641</t>
  </si>
  <si>
    <t>NHB-SKF STOCK AS ON</t>
  </si>
  <si>
    <t>SL.NO</t>
  </si>
  <si>
    <t>SYMBOL</t>
  </si>
  <si>
    <t>Opening Bal</t>
  </si>
  <si>
    <t>Receipt Qty</t>
  </si>
  <si>
    <t>Sales Qty</t>
  </si>
  <si>
    <t>Bal Stock</t>
  </si>
  <si>
    <t>Value</t>
  </si>
  <si>
    <t>3.969 mm (5/32")</t>
  </si>
  <si>
    <t>4.762 mm (3/16")</t>
  </si>
  <si>
    <t xml:space="preserve">5.00 mm </t>
  </si>
  <si>
    <t>5.953 mm (15/64")</t>
  </si>
  <si>
    <t xml:space="preserve">6.00 mm </t>
  </si>
  <si>
    <t>6.350 mm (1/4")</t>
  </si>
  <si>
    <t>6.747 mm (17/64")</t>
  </si>
  <si>
    <t>7.144 mm (9/32")</t>
  </si>
  <si>
    <t>7.938 mm (5/16")</t>
  </si>
  <si>
    <t>8.731mm (11/32")</t>
  </si>
  <si>
    <t>9.525 mm (3/8")</t>
  </si>
  <si>
    <t>10.319 mm (13/32'')</t>
  </si>
  <si>
    <t>11.112 mm (7/16")</t>
  </si>
  <si>
    <t>11.500 mm</t>
  </si>
  <si>
    <t>12.7 mm</t>
  </si>
  <si>
    <t>Stock Status</t>
  </si>
  <si>
    <t>Qlt Issuse</t>
  </si>
  <si>
    <t xml:space="preserve">Mat Not received </t>
  </si>
  <si>
    <t>MUKUND WIRE BALL SAMPLE</t>
  </si>
  <si>
    <t>Shortage Mat</t>
  </si>
  <si>
    <t>SKF STOCK STATEMENT AS ON</t>
  </si>
  <si>
    <t>FACTORY INVOICE NO.</t>
  </si>
  <si>
    <t>INV DATE</t>
  </si>
  <si>
    <t>REC DATE</t>
  </si>
  <si>
    <t xml:space="preserve">Ball Type </t>
  </si>
  <si>
    <t>NEW BATCH NO</t>
  </si>
  <si>
    <t>Boxes</t>
  </si>
  <si>
    <t xml:space="preserve">Qty nos </t>
  </si>
  <si>
    <t xml:space="preserve">SALE BASIC PRICE </t>
  </si>
  <si>
    <t xml:space="preserve">UNIT </t>
  </si>
  <si>
    <t>BASIC VALUE  TOTAL</t>
  </si>
  <si>
    <t>AGE OF DAYS FORM INVOICE  DATE</t>
  </si>
  <si>
    <t>AGE OF DAYS FORM RECEIVED DATE</t>
  </si>
  <si>
    <t>3.969 MM(5/32")G20 BRG STEEL BALLS P06</t>
  </si>
  <si>
    <t>G20</t>
  </si>
  <si>
    <t>TOTAL</t>
  </si>
  <si>
    <t>IN2500012541</t>
  </si>
  <si>
    <t>CS0476ESSKQ10M0911</t>
  </si>
  <si>
    <t>4.762 MM(3/16")G10Q BRG STEEL BALLS M9</t>
  </si>
  <si>
    <t>M9</t>
  </si>
  <si>
    <t>AI017628A</t>
  </si>
  <si>
    <t>5.000 MM G10Q BRG STEEL BALLS P2</t>
  </si>
  <si>
    <t>P2</t>
  </si>
  <si>
    <t>5.953 MM(15/64")G10Q BRG STEEL BALLS STD</t>
  </si>
  <si>
    <t>STD</t>
  </si>
  <si>
    <t>6.000 MM G10 Q BRG STEEL BALLS M6</t>
  </si>
  <si>
    <t>M6</t>
  </si>
  <si>
    <t>IN2500012822</t>
  </si>
  <si>
    <t>CS0635ESSKQ10M0811</t>
  </si>
  <si>
    <t>6.350 MM (1/4") G10Q BRG STEEL BALLS M8</t>
  </si>
  <si>
    <t>M8</t>
  </si>
  <si>
    <t>AJ003805</t>
  </si>
  <si>
    <t>IN2600000945</t>
  </si>
  <si>
    <t>AJ003592</t>
  </si>
  <si>
    <t>AJ005653</t>
  </si>
  <si>
    <t>IN2600002610</t>
  </si>
  <si>
    <t>CS0635EBSKQ10M0811</t>
  </si>
  <si>
    <t>AJ006481</t>
  </si>
  <si>
    <t>CS0635EBSKQ10P0411</t>
  </si>
  <si>
    <t>6.350 MM (1/4") G10Q BRG STEEL BALLS P4</t>
  </si>
  <si>
    <t>AJ011346</t>
  </si>
  <si>
    <t>IN2500008023</t>
  </si>
  <si>
    <t>CS0674ESSKQ10M0811</t>
  </si>
  <si>
    <t>6.747 MM(17/64")G10Q BRG STEEL BALLS M8</t>
  </si>
  <si>
    <t>AI015026A</t>
  </si>
  <si>
    <t>IN2400007413</t>
  </si>
  <si>
    <t>CS0793ESSKQ10P0611</t>
  </si>
  <si>
    <t>7.938 MM(5/16")G10Q BRG STEEL BALLS P6</t>
  </si>
  <si>
    <t>AH007996A</t>
  </si>
  <si>
    <t>AH007996B</t>
  </si>
  <si>
    <t>CS0793ESSKQ10P0311</t>
  </si>
  <si>
    <t>7.938 MM(5/16")G10Q BRG STEEL BALLS P3</t>
  </si>
  <si>
    <t>AH007999B</t>
  </si>
  <si>
    <t>CS0793ESSKQ10S0011</t>
  </si>
  <si>
    <t>7.938 MM(5/16")G10Q BRG STEEL BALLS STD</t>
  </si>
  <si>
    <t>AH007999A</t>
  </si>
  <si>
    <t>AH007998A</t>
  </si>
  <si>
    <t>AH008000B</t>
  </si>
  <si>
    <t>AH007998B</t>
  </si>
  <si>
    <t>CS0793ESSKQ10M0911</t>
  </si>
  <si>
    <t>7.938 MM(5/16")G10Q BRG STEEL BALLS M9</t>
  </si>
  <si>
    <t>AH008000A</t>
  </si>
  <si>
    <t>CS0793EBSKQ10P0311</t>
  </si>
  <si>
    <t>AJ011672B</t>
  </si>
  <si>
    <t>9.525 MM(3/8")G10Q BRG STEEL BALLS P4</t>
  </si>
  <si>
    <t>10.319MM(13/32")G10Q BRG STEEL BALLS S00</t>
  </si>
  <si>
    <t>IN2500012432</t>
  </si>
  <si>
    <t>CS1111ESSKQ10M0811</t>
  </si>
  <si>
    <t>11.112MM(7/16")G10Q BRG STEEL BALLS M8</t>
  </si>
  <si>
    <t>AJ003016</t>
  </si>
  <si>
    <t>IN2600000906</t>
  </si>
  <si>
    <t>CS1111ESSKQ10P0811</t>
  </si>
  <si>
    <t>11.112MM(7/16")G10Q BRG STEEL BALLS P8</t>
  </si>
  <si>
    <t>P8</t>
  </si>
  <si>
    <t>AJ004639A</t>
  </si>
  <si>
    <t>IN2600003092</t>
  </si>
  <si>
    <t>CS1111EBSKQ10M0811</t>
  </si>
  <si>
    <t>AJ006424</t>
  </si>
  <si>
    <t>AJ006430</t>
  </si>
  <si>
    <t>CS1111EBSKQ10P0811</t>
  </si>
  <si>
    <t>AJ007453B</t>
  </si>
  <si>
    <t>IN2600002937</t>
  </si>
  <si>
    <t>CS1150EBSKQ10P0811</t>
  </si>
  <si>
    <t>11.500 MM G10Q BRG STEEL BALLS P8</t>
  </si>
  <si>
    <t>AJ007722B</t>
  </si>
  <si>
    <t>IN2600003012</t>
  </si>
  <si>
    <t>AJ007592B</t>
  </si>
  <si>
    <t>IN2600004087</t>
  </si>
  <si>
    <t>AJ009693B</t>
  </si>
  <si>
    <t>AJ011183B</t>
  </si>
  <si>
    <t>AJ011194B</t>
  </si>
  <si>
    <t>IN2600004953</t>
  </si>
  <si>
    <t>12.700 MM( 1/2 ")G10Q BRG STEEL BALLS M8</t>
  </si>
  <si>
    <t>AJ009369B</t>
  </si>
  <si>
    <t>CS1270EBSKQ10M0411</t>
  </si>
  <si>
    <t>12.700 MM( 1/2 ")G10Q BRG STEEL BALLS M4</t>
  </si>
  <si>
    <t>AJ011448A</t>
  </si>
  <si>
    <t>CS1270EBSKQ10S0011</t>
  </si>
  <si>
    <t>12.700 MM(1/2") G10Q BRG STEEL BALLS STD</t>
  </si>
  <si>
    <t>AJ011435A</t>
  </si>
  <si>
    <t>CS0476EBSKQ10M0311</t>
  </si>
  <si>
    <t>4.762 MM(3/16")G10Q BRG STEEL BALLS M3</t>
  </si>
  <si>
    <t>CS0476EBSKQ10S0011</t>
  </si>
  <si>
    <t>4.762 MM(3/16")G10Q BRG STEEL BALLS STD</t>
  </si>
  <si>
    <t>CS0635EBSKQ10P0211</t>
  </si>
  <si>
    <t>6.350 MM (1/4") G10Q BRG STEEL BALLS P2</t>
  </si>
  <si>
    <t>CS0873EBSKQ10S0011</t>
  </si>
  <si>
    <t>8.731 MM(11/32")G10Q BRG STEEL BALLS STD</t>
  </si>
  <si>
    <t>CS0476EBSKQ10P0311</t>
  </si>
  <si>
    <t>4.762 MM(3/16")G10Q BRG STEEL BALLS P3</t>
  </si>
  <si>
    <t>IN2600005663</t>
  </si>
  <si>
    <t>AJ011678A</t>
  </si>
  <si>
    <t>AJ011384A</t>
  </si>
  <si>
    <t>AJ011335</t>
  </si>
  <si>
    <t>AJ011195B</t>
  </si>
  <si>
    <t>AJ011388A</t>
  </si>
  <si>
    <t>IN2600005597</t>
  </si>
  <si>
    <t>AJ011379A</t>
  </si>
  <si>
    <t>Mr Putta Instr Direct DL TO SKF</t>
  </si>
  <si>
    <t>AIR</t>
  </si>
  <si>
    <t>IN2613000793</t>
  </si>
  <si>
    <t>IN2613000794</t>
  </si>
  <si>
    <t>IN2613000795</t>
  </si>
  <si>
    <t>IN2613000796</t>
  </si>
  <si>
    <t>IN2613000797</t>
  </si>
  <si>
    <t>IN2613000798</t>
  </si>
  <si>
    <t>IN2613000799</t>
  </si>
  <si>
    <t>P469562</t>
  </si>
  <si>
    <t xml:space="preserve">P469562 </t>
  </si>
  <si>
    <t>P247087</t>
  </si>
  <si>
    <t>P247088</t>
  </si>
  <si>
    <t>P247089</t>
  </si>
  <si>
    <t>IN2613000800</t>
  </si>
  <si>
    <t>IN2613000801</t>
  </si>
  <si>
    <t>IN2613000802</t>
  </si>
  <si>
    <t>IN2613000803</t>
  </si>
  <si>
    <t xml:space="preserve">P469563 </t>
  </si>
  <si>
    <t xml:space="preserve"> P469563</t>
  </si>
  <si>
    <t>P247090</t>
  </si>
  <si>
    <t>IN2600005828</t>
  </si>
  <si>
    <t>CS0674EBSKQ10P0611</t>
  </si>
  <si>
    <t>6.747 MM(17/64")G10Q BRG STEEL BALLS P6</t>
  </si>
  <si>
    <t>IN2600005844</t>
  </si>
  <si>
    <t>CS0476EBSKQ10P0611</t>
  </si>
  <si>
    <t>4.762 MM(3/16")G10Q BRG STEEL BALLS P6</t>
  </si>
  <si>
    <t>AJ011392A</t>
  </si>
  <si>
    <t>AJ011394A</t>
  </si>
  <si>
    <t>AJ011395A</t>
  </si>
  <si>
    <t>IN2613000804</t>
  </si>
  <si>
    <t>IN2613000805</t>
  </si>
  <si>
    <t>IN2613000806</t>
  </si>
  <si>
    <t>IN2613000807</t>
  </si>
  <si>
    <t>P247110</t>
  </si>
  <si>
    <t xml:space="preserve">P469618 </t>
  </si>
  <si>
    <t>IN2600005862</t>
  </si>
  <si>
    <t>AJ011405A</t>
  </si>
  <si>
    <t>P247163</t>
  </si>
  <si>
    <t>P469650</t>
  </si>
  <si>
    <t>IN2613000808</t>
  </si>
  <si>
    <t>IN2613000809</t>
  </si>
  <si>
    <t>IN2600005717</t>
  </si>
  <si>
    <t>CS0793EBSKQ10M0311</t>
  </si>
  <si>
    <t>CS1111EBSKQ10P0611</t>
  </si>
  <si>
    <t>11.112MM(7/16")G10Q BRG STEEL BALLS P6</t>
  </si>
  <si>
    <t>CS1150EBSKQ10P0211</t>
  </si>
  <si>
    <t>11.500 MM G10Q BRG STEEL BALLS P2</t>
  </si>
  <si>
    <t>IN2600005730</t>
  </si>
  <si>
    <t>CS0714EBSKQ10P0611</t>
  </si>
  <si>
    <t>7.144 MM(9/32")G10Q BRG STEEL BALLS P6</t>
  </si>
  <si>
    <t>CS0714EBSKQ10P0811</t>
  </si>
  <si>
    <t>7.144 MM(9/32")G10Q BRG STEEL BALLS P8</t>
  </si>
  <si>
    <t>AJ011385A</t>
  </si>
  <si>
    <t>AJ011699B</t>
  </si>
  <si>
    <t>AJ011383A</t>
  </si>
  <si>
    <t>AJ011686A</t>
  </si>
  <si>
    <t>AJ011231</t>
  </si>
  <si>
    <t>AJ011265A</t>
  </si>
  <si>
    <t>AJ011688A</t>
  </si>
  <si>
    <t>AJ011864B</t>
  </si>
  <si>
    <t>AJ010319</t>
  </si>
  <si>
    <t>AJ010321</t>
  </si>
  <si>
    <t>IN2613000810</t>
  </si>
  <si>
    <t>IN2613000811</t>
  </si>
  <si>
    <t>IN2613000812</t>
  </si>
  <si>
    <t>IN2613000813</t>
  </si>
  <si>
    <t>IN2613000814</t>
  </si>
  <si>
    <t>IN2613000815</t>
  </si>
  <si>
    <t>IN2613000816</t>
  </si>
  <si>
    <t>IN2613000817</t>
  </si>
  <si>
    <t xml:space="preserve">R135914 </t>
  </si>
  <si>
    <t>P469707</t>
  </si>
  <si>
    <t>P247213</t>
  </si>
  <si>
    <t>P247214</t>
  </si>
  <si>
    <t>P247216</t>
  </si>
  <si>
    <t xml:space="preserve">R135928 </t>
  </si>
  <si>
    <t>P247218</t>
  </si>
  <si>
    <t>P469705</t>
  </si>
  <si>
    <t>CS1270ESSKQ10M0811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</si>
</sst>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_(* #,##0.00_);_(* \(#,##0.00\);_(* &quot;-&quot;??_);_(@_)"/>
    <numFmt numFmtId="165" formatCode="[$-409]d/mmm/yy;@"/>
    <numFmt numFmtId="166" formatCode="00000"/>
    <numFmt numFmtId="167" formatCode="[&lt;=9999999]###\-####;\(###\)\ ###\-####"/>
    <numFmt numFmtId="168" formatCode="0.000"/>
    <numFmt numFmtId="169" formatCode="[$-409]d\-mmm\-yy;@"/>
    <numFmt numFmtId="170" formatCode="0.00000"/>
  </numFmts>
  <fonts count="40">
    <font>
      <sz val="10"/>
      <name val="Arial"/>
      <charset val="134"/>
    </font>
    <font>
      <b/>
      <sz val="12"/>
      <name val="Arial"/>
      <family val="2"/>
    </font>
    <font>
      <sz val="11"/>
      <name val="Calibri"/>
      <family val="2"/>
    </font>
    <font>
      <b/>
      <i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2"/>
      <color indexed="48"/>
      <name val="Arial"/>
      <family val="2"/>
    </font>
    <font>
      <b/>
      <i/>
      <sz val="12"/>
      <color indexed="12"/>
      <name val="Arial"/>
      <family val="2"/>
    </font>
    <font>
      <b/>
      <i/>
      <sz val="12"/>
      <color indexed="48"/>
      <name val="Arial"/>
      <family val="2"/>
    </font>
    <font>
      <b/>
      <i/>
      <sz val="10"/>
      <color indexed="12"/>
      <name val="Arial"/>
      <family val="2"/>
    </font>
    <font>
      <i/>
      <sz val="10"/>
      <name val="Bookman Old Style"/>
      <family val="1"/>
    </font>
    <font>
      <i/>
      <sz val="10"/>
      <color indexed="8"/>
      <name val="Bookman Old Style"/>
      <family val="1"/>
    </font>
    <font>
      <i/>
      <sz val="10"/>
      <color indexed="12"/>
      <name val="Bookman Old Style"/>
      <family val="1"/>
    </font>
    <font>
      <b/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u/>
      <sz val="8.5"/>
      <color theme="1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i/>
      <sz val="9"/>
      <color indexed="1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i/>
      <sz val="9"/>
      <color indexed="48"/>
      <name val="Arial"/>
      <family val="2"/>
    </font>
    <font>
      <b/>
      <i/>
      <sz val="9"/>
      <color indexed="12"/>
      <name val="Arial"/>
      <family val="2"/>
    </font>
    <font>
      <b/>
      <i/>
      <u/>
      <sz val="9"/>
      <name val="Arial"/>
      <family val="2"/>
    </font>
    <font>
      <b/>
      <i/>
      <u/>
      <sz val="9"/>
      <color indexed="14"/>
      <name val="Arial"/>
      <family val="2"/>
    </font>
    <font>
      <b/>
      <i/>
      <sz val="9"/>
      <color indexed="12"/>
      <name val="Bookman Old Style"/>
      <family val="1"/>
    </font>
    <font>
      <b/>
      <i/>
      <sz val="9"/>
      <name val="Bookman Old Style"/>
      <family val="1"/>
    </font>
    <font>
      <i/>
      <sz val="9"/>
      <name val="Bookman Old Style"/>
      <family val="1"/>
    </font>
    <font>
      <i/>
      <sz val="9"/>
      <color indexed="12"/>
      <name val="Bookman Old Style"/>
      <family val="1"/>
    </font>
    <font>
      <b/>
      <i/>
      <sz val="14"/>
      <color indexed="10"/>
      <name val="Arial"/>
      <family val="2"/>
    </font>
    <font>
      <b/>
      <i/>
      <sz val="24"/>
      <color indexed="10"/>
      <name val="Courier New"/>
      <family val="3"/>
    </font>
    <font>
      <b/>
      <sz val="11"/>
      <name val="Calibr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i/>
      <sz val="10"/>
      <color indexed="10"/>
      <name val="Bookman Old Style"/>
      <family val="1"/>
    </font>
    <font>
      <b/>
      <sz val="14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98">
    <xf numFmtId="0" fontId="0" fillId="0" borderId="0" xfId="0" applyAlignment="1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" fontId="10" fillId="0" borderId="0" xfId="0" quotePrefix="1" applyNumberFormat="1" applyFont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2" fontId="15" fillId="6" borderId="1" xfId="0" applyNumberFormat="1" applyFont="1" applyFill="1" applyBorder="1" applyAlignment="1">
      <alignment horizontal="center" vertical="center" wrapText="1"/>
    </xf>
    <xf numFmtId="0" fontId="16" fillId="6" borderId="1" xfId="2" applyFill="1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9" fontId="10" fillId="0" borderId="0" xfId="0" applyNumberFormat="1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165" fontId="10" fillId="0" borderId="1" xfId="0" quotePrefix="1" applyNumberFormat="1" applyFont="1" applyFill="1" applyBorder="1" applyAlignment="1">
      <alignment horizontal="center" vertical="center"/>
    </xf>
    <xf numFmtId="16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1" fontId="10" fillId="0" borderId="1" xfId="0" quotePrefix="1" applyNumberFormat="1" applyFont="1" applyFill="1" applyBorder="1" applyAlignment="1">
      <alignment horizontal="center" vertical="center"/>
    </xf>
    <xf numFmtId="4" fontId="10" fillId="0" borderId="1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24" fillId="0" borderId="0" xfId="0" applyFont="1">
      <alignment vertical="center"/>
    </xf>
    <xf numFmtId="2" fontId="24" fillId="0" borderId="0" xfId="0" applyNumberFormat="1" applyFont="1">
      <alignment vertical="center"/>
    </xf>
    <xf numFmtId="2" fontId="21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165" fontId="27" fillId="3" borderId="1" xfId="0" applyNumberFormat="1" applyFont="1" applyFill="1" applyBorder="1" applyAlignment="1">
      <alignment horizontal="center" vertical="center" wrapText="1"/>
    </xf>
    <xf numFmtId="166" fontId="27" fillId="3" borderId="1" xfId="0" applyNumberFormat="1" applyFont="1" applyFill="1" applyBorder="1" applyAlignment="1">
      <alignment horizontal="center" vertical="center" wrapText="1"/>
    </xf>
    <xf numFmtId="2" fontId="27" fillId="3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9" fillId="0" borderId="1" xfId="0" applyFont="1" applyFill="1" applyBorder="1" applyAlignment="1">
      <alignment horizontal="center" vertical="center"/>
    </xf>
    <xf numFmtId="165" fontId="29" fillId="0" borderId="1" xfId="0" applyNumberFormat="1" applyFont="1" applyFill="1" applyBorder="1" applyAlignment="1">
      <alignment horizontal="center" vertical="center"/>
    </xf>
    <xf numFmtId="0" fontId="29" fillId="0" borderId="1" xfId="0" quotePrefix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1" fontId="29" fillId="0" borderId="1" xfId="0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horizontal="left" vertical="center"/>
    </xf>
    <xf numFmtId="1" fontId="29" fillId="0" borderId="0" xfId="0" applyNumberFormat="1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9" fillId="0" borderId="0" xfId="0" applyFont="1" applyFill="1">
      <alignment vertical="center"/>
    </xf>
    <xf numFmtId="0" fontId="29" fillId="0" borderId="1" xfId="0" applyFont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2" fontId="29" fillId="0" borderId="1" xfId="0" quotePrefix="1" applyNumberFormat="1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1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8" fillId="4" borderId="1" xfId="0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164" fontId="28" fillId="4" borderId="1" xfId="0" applyNumberFormat="1" applyFont="1" applyFill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left" vertical="center"/>
    </xf>
    <xf numFmtId="0" fontId="1" fillId="7" borderId="2" xfId="0" applyFont="1" applyFill="1" applyBorder="1" applyAlignment="1"/>
    <xf numFmtId="0" fontId="1" fillId="7" borderId="3" xfId="0" applyFont="1" applyFill="1" applyBorder="1" applyAlignment="1"/>
    <xf numFmtId="0" fontId="1" fillId="7" borderId="4" xfId="0" applyFont="1" applyFill="1" applyBorder="1" applyAlignment="1"/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15" fontId="34" fillId="13" borderId="3" xfId="0" applyNumberFormat="1" applyFont="1" applyFill="1" applyBorder="1" applyAlignment="1">
      <alignment horizontal="center" vertical="center"/>
    </xf>
    <xf numFmtId="0" fontId="35" fillId="13" borderId="2" xfId="0" applyFont="1" applyFill="1" applyBorder="1" applyAlignment="1">
      <alignment horizontal="left" vertical="center"/>
    </xf>
    <xf numFmtId="165" fontId="34" fillId="13" borderId="3" xfId="0" applyNumberFormat="1" applyFont="1" applyFill="1" applyBorder="1" applyAlignment="1">
      <alignment horizontal="center" vertical="center"/>
    </xf>
    <xf numFmtId="0" fontId="34" fillId="13" borderId="3" xfId="0" applyFont="1" applyFill="1" applyBorder="1" applyAlignment="1">
      <alignment horizontal="center" vertical="center"/>
    </xf>
    <xf numFmtId="0" fontId="34" fillId="13" borderId="4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 wrapText="1"/>
    </xf>
    <xf numFmtId="165" fontId="36" fillId="14" borderId="1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0" fontId="39" fillId="3" borderId="4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2" fontId="39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5" fontId="2" fillId="15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9" fillId="3" borderId="7" xfId="0" applyFont="1" applyFill="1" applyBorder="1" applyAlignment="1">
      <alignment horizontal="center" vertical="center"/>
    </xf>
    <xf numFmtId="2" fontId="39" fillId="3" borderId="7" xfId="0" applyNumberFormat="1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center" vertical="center"/>
    </xf>
    <xf numFmtId="1" fontId="38" fillId="12" borderId="1" xfId="0" applyNumberFormat="1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2" fontId="39" fillId="3" borderId="8" xfId="0" applyNumberFormat="1" applyFont="1" applyFill="1" applyBorder="1" applyAlignment="1">
      <alignment horizontal="center" vertical="center"/>
    </xf>
    <xf numFmtId="1" fontId="38" fillId="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0" fillId="16" borderId="1" xfId="1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12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43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43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43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43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43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</dxfs>
  <tableStyles count="0" defaultTableStyle="TableStyleMedium9"/>
  <colors>
    <mruColors>
      <color rgb="FF33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thosh-pc\d\DAILY%20STOCK\SLN%20DAILY%20WORKS\SUPPLIER%20STOCK%20STATEMENT\NHB%20STOCK%20Sep-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ceipt"/>
      <sheetName val="Sales"/>
      <sheetName val="Stcok"/>
    </sheetNames>
    <sheetDataSet>
      <sheetData sheetId="0">
        <row r="6">
          <cell r="D6">
            <v>0</v>
          </cell>
          <cell r="AJ6">
            <v>0</v>
          </cell>
        </row>
        <row r="7">
          <cell r="D7">
            <v>465000</v>
          </cell>
          <cell r="AJ7">
            <v>2985000</v>
          </cell>
        </row>
        <row r="8">
          <cell r="D8">
            <v>0</v>
          </cell>
          <cell r="AJ8">
            <v>0</v>
          </cell>
        </row>
        <row r="9">
          <cell r="D9">
            <v>0</v>
          </cell>
          <cell r="AJ9">
            <v>0</v>
          </cell>
        </row>
        <row r="10">
          <cell r="D10">
            <v>0</v>
          </cell>
          <cell r="AJ10">
            <v>0</v>
          </cell>
        </row>
        <row r="11">
          <cell r="D11">
            <v>1261000</v>
          </cell>
          <cell r="AJ11">
            <v>351000</v>
          </cell>
        </row>
        <row r="12">
          <cell r="D12">
            <v>305000</v>
          </cell>
          <cell r="AJ12">
            <v>905000</v>
          </cell>
        </row>
        <row r="13">
          <cell r="D13">
            <v>0</v>
          </cell>
          <cell r="AJ13">
            <v>432600</v>
          </cell>
        </row>
        <row r="14">
          <cell r="D14">
            <v>1660800</v>
          </cell>
          <cell r="AJ14">
            <v>368000</v>
          </cell>
        </row>
        <row r="15">
          <cell r="D15">
            <v>0</v>
          </cell>
          <cell r="AJ15">
            <v>292600</v>
          </cell>
        </row>
        <row r="16">
          <cell r="D16">
            <v>0</v>
          </cell>
          <cell r="AJ16">
            <v>0</v>
          </cell>
        </row>
        <row r="17">
          <cell r="D17">
            <v>0</v>
          </cell>
          <cell r="AJ17">
            <v>0</v>
          </cell>
        </row>
        <row r="18">
          <cell r="D18">
            <v>274850</v>
          </cell>
          <cell r="AJ18">
            <v>134550</v>
          </cell>
        </row>
        <row r="19">
          <cell r="D19">
            <v>294000</v>
          </cell>
          <cell r="AJ19">
            <v>287700</v>
          </cell>
        </row>
        <row r="20">
          <cell r="D20">
            <v>135800</v>
          </cell>
          <cell r="AJ20">
            <v>44100</v>
          </cell>
        </row>
      </sheetData>
      <sheetData sheetId="1">
        <row r="6">
          <cell r="AJ6">
            <v>0</v>
          </cell>
          <cell r="AK6">
            <v>0</v>
          </cell>
        </row>
        <row r="7">
          <cell r="AJ7">
            <v>2985000</v>
          </cell>
          <cell r="AK7">
            <v>465000</v>
          </cell>
        </row>
        <row r="8">
          <cell r="AJ8">
            <v>0</v>
          </cell>
          <cell r="AK8">
            <v>0</v>
          </cell>
        </row>
        <row r="9">
          <cell r="AJ9">
            <v>0</v>
          </cell>
          <cell r="AK9">
            <v>0</v>
          </cell>
        </row>
        <row r="10">
          <cell r="AJ10">
            <v>0</v>
          </cell>
          <cell r="AK10">
            <v>0</v>
          </cell>
        </row>
        <row r="11">
          <cell r="AJ11">
            <v>182000</v>
          </cell>
          <cell r="AK11">
            <v>1430000</v>
          </cell>
        </row>
        <row r="12">
          <cell r="AJ12">
            <v>905000</v>
          </cell>
          <cell r="AK12">
            <v>305000</v>
          </cell>
        </row>
        <row r="13">
          <cell r="AJ13">
            <v>184800</v>
          </cell>
          <cell r="AK13">
            <v>247800</v>
          </cell>
        </row>
        <row r="14">
          <cell r="AJ14">
            <v>368000</v>
          </cell>
          <cell r="AK14">
            <v>1660800</v>
          </cell>
        </row>
        <row r="15">
          <cell r="AJ15">
            <v>147400</v>
          </cell>
          <cell r="AK15">
            <v>145200</v>
          </cell>
        </row>
        <row r="16">
          <cell r="AJ16">
            <v>0</v>
          </cell>
          <cell r="AK16">
            <v>0</v>
          </cell>
        </row>
        <row r="17">
          <cell r="AJ17">
            <v>0</v>
          </cell>
          <cell r="AK17">
            <v>0</v>
          </cell>
        </row>
        <row r="18">
          <cell r="AJ18">
            <v>72450</v>
          </cell>
          <cell r="AK18">
            <v>336950</v>
          </cell>
        </row>
        <row r="19">
          <cell r="AJ19">
            <v>165900</v>
          </cell>
          <cell r="AK19">
            <v>415800</v>
          </cell>
        </row>
        <row r="20">
          <cell r="AJ20">
            <v>93100</v>
          </cell>
          <cell r="AK20">
            <v>86800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CGST@9%25" TargetMode="External"/><Relationship Id="rId1" Type="http://schemas.openxmlformats.org/officeDocument/2006/relationships/hyperlink" Target="mailto:SGST@9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58"/>
  <sheetViews>
    <sheetView zoomScale="80" zoomScaleNormal="80" workbookViewId="0">
      <pane ySplit="10" topLeftCell="A27" activePane="bottomLeft" state="frozen"/>
      <selection pane="bottomLeft" activeCell="A34" sqref="A34:XFD34"/>
    </sheetView>
  </sheetViews>
  <sheetFormatPr defaultColWidth="1.42578125" defaultRowHeight="19.5" customHeight="1"/>
  <cols>
    <col min="1" max="1" width="3" style="3" bestFit="1" customWidth="1"/>
    <col min="2" max="2" width="25.7109375" style="3" customWidth="1"/>
    <col min="3" max="3" width="13.140625" style="4" bestFit="1" customWidth="1"/>
    <col min="4" max="4" width="9.5703125" style="3" hidden="1" customWidth="1"/>
    <col min="5" max="5" width="9.5703125" style="4" hidden="1" customWidth="1"/>
    <col min="6" max="6" width="10.28515625" style="3" bestFit="1" customWidth="1"/>
    <col min="7" max="7" width="7.7109375" style="3" bestFit="1" customWidth="1"/>
    <col min="8" max="8" width="13.140625" style="4" bestFit="1" customWidth="1"/>
    <col min="9" max="9" width="26" style="3" bestFit="1" customWidth="1"/>
    <col min="10" max="10" width="49.42578125" style="3" bestFit="1" customWidth="1"/>
    <col min="11" max="12" width="7.7109375" style="3" bestFit="1" customWidth="1"/>
    <col min="13" max="13" width="8.140625" style="3" bestFit="1" customWidth="1"/>
    <col min="14" max="14" width="13" style="3" bestFit="1" customWidth="1"/>
    <col min="15" max="15" width="10.140625" style="3" bestFit="1" customWidth="1"/>
    <col min="16" max="16" width="12.5703125" style="3" bestFit="1" customWidth="1"/>
    <col min="17" max="17" width="16.42578125" style="3" bestFit="1" customWidth="1"/>
    <col min="18" max="18" width="20" style="3" bestFit="1" customWidth="1"/>
    <col min="19" max="19" width="11.140625" style="3" bestFit="1" customWidth="1"/>
    <col min="20" max="20" width="19.28515625" style="3" bestFit="1" customWidth="1"/>
    <col min="21" max="21" width="49.140625" style="3" bestFit="1" customWidth="1"/>
    <col min="22" max="22" width="3.140625" style="3" customWidth="1"/>
    <col min="23" max="24" width="1.5703125" style="3" customWidth="1"/>
    <col min="25" max="16384" width="1.42578125" style="3"/>
  </cols>
  <sheetData>
    <row r="1" spans="1:21" ht="19.5" customHeight="1">
      <c r="P1" s="5"/>
      <c r="Q1" s="5"/>
      <c r="R1" s="5"/>
      <c r="S1" s="5"/>
      <c r="T1" s="5"/>
      <c r="U1" s="5"/>
    </row>
    <row r="2" spans="1:21" ht="29.25" customHeight="1">
      <c r="B2" s="186" t="s">
        <v>69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</row>
    <row r="3" spans="1:21" ht="19.5" customHeight="1">
      <c r="B3" s="187" t="s">
        <v>10</v>
      </c>
      <c r="C3" s="187"/>
      <c r="D3" s="187"/>
      <c r="E3" s="187"/>
      <c r="P3" s="5"/>
      <c r="Q3" s="5"/>
      <c r="R3" s="5"/>
      <c r="S3" s="5"/>
      <c r="T3" s="5"/>
      <c r="U3" s="5"/>
    </row>
    <row r="4" spans="1:21" ht="19.5" customHeight="1">
      <c r="B4" s="6" t="s">
        <v>55</v>
      </c>
      <c r="C4" s="115"/>
      <c r="D4" s="116"/>
      <c r="E4" s="7"/>
      <c r="O4" s="9"/>
      <c r="P4" s="8"/>
      <c r="Q4" s="8"/>
      <c r="R4" s="8"/>
      <c r="S4" s="8"/>
      <c r="T4" s="5"/>
      <c r="U4" s="5"/>
    </row>
    <row r="5" spans="1:21" ht="19.5" customHeight="1">
      <c r="B5" s="6" t="s">
        <v>56</v>
      </c>
      <c r="C5" s="115"/>
      <c r="D5" s="116"/>
      <c r="E5" s="7"/>
      <c r="G5" s="10"/>
      <c r="O5" s="9"/>
    </row>
    <row r="6" spans="1:21" ht="19.5" customHeight="1">
      <c r="B6" s="6" t="s">
        <v>57</v>
      </c>
      <c r="C6" s="117"/>
      <c r="D6" s="116"/>
      <c r="E6" s="11"/>
      <c r="G6" s="10"/>
      <c r="O6" s="12"/>
      <c r="P6" s="12"/>
      <c r="Q6" s="12"/>
      <c r="R6" s="12"/>
    </row>
    <row r="7" spans="1:21" ht="19.5" customHeight="1">
      <c r="B7" s="118" t="s">
        <v>58</v>
      </c>
      <c r="C7" s="116"/>
      <c r="D7" s="116"/>
    </row>
    <row r="8" spans="1:21" ht="19.5" customHeight="1">
      <c r="B8" s="118" t="s">
        <v>59</v>
      </c>
      <c r="C8" s="116"/>
      <c r="D8" s="116"/>
    </row>
    <row r="10" spans="1:21" s="17" customFormat="1" ht="25.5">
      <c r="B10" s="13" t="s">
        <v>11</v>
      </c>
      <c r="C10" s="18" t="s">
        <v>1</v>
      </c>
      <c r="D10" s="13" t="s">
        <v>12</v>
      </c>
      <c r="E10" s="18" t="s">
        <v>13</v>
      </c>
      <c r="F10" s="13" t="s">
        <v>14</v>
      </c>
      <c r="G10" s="13" t="s">
        <v>15</v>
      </c>
      <c r="H10" s="18" t="s">
        <v>16</v>
      </c>
      <c r="I10" s="13" t="s">
        <v>7</v>
      </c>
      <c r="J10" s="13" t="s">
        <v>18</v>
      </c>
      <c r="K10" s="13" t="s">
        <v>8</v>
      </c>
      <c r="L10" s="13" t="s">
        <v>9</v>
      </c>
      <c r="M10" s="13" t="s">
        <v>0</v>
      </c>
      <c r="N10" s="13" t="s">
        <v>3</v>
      </c>
      <c r="O10" s="13" t="s">
        <v>19</v>
      </c>
      <c r="P10" s="13" t="s">
        <v>20</v>
      </c>
      <c r="Q10" s="13" t="s">
        <v>21</v>
      </c>
      <c r="R10" s="13" t="s">
        <v>22</v>
      </c>
      <c r="S10" s="13" t="s">
        <v>23</v>
      </c>
      <c r="T10" s="13" t="s">
        <v>24</v>
      </c>
      <c r="U10" s="13" t="s">
        <v>25</v>
      </c>
    </row>
    <row r="11" spans="1:21" s="56" customFormat="1" ht="19.5" customHeight="1">
      <c r="A11" s="57"/>
      <c r="B11" s="58" t="s">
        <v>71</v>
      </c>
      <c r="C11" s="59">
        <v>46263</v>
      </c>
      <c r="D11" s="60"/>
      <c r="E11" s="61"/>
      <c r="F11" s="62" t="s">
        <v>60</v>
      </c>
      <c r="G11" s="58">
        <v>210</v>
      </c>
      <c r="H11" s="59">
        <v>46266</v>
      </c>
      <c r="I11" s="58" t="s">
        <v>72</v>
      </c>
      <c r="J11" s="63" t="s">
        <v>73</v>
      </c>
      <c r="K11" s="63" t="s">
        <v>61</v>
      </c>
      <c r="L11" s="63" t="s">
        <v>74</v>
      </c>
      <c r="M11" s="68" t="s">
        <v>62</v>
      </c>
      <c r="N11" s="19" t="s">
        <v>100</v>
      </c>
      <c r="O11" s="19">
        <f>+P11/5000</f>
        <v>32</v>
      </c>
      <c r="P11" s="19">
        <v>160000</v>
      </c>
      <c r="Q11" s="19">
        <v>367</v>
      </c>
      <c r="R11" s="64">
        <f t="shared" ref="R11:R33" si="0">+P11*Q11/1000</f>
        <v>58720</v>
      </c>
      <c r="S11" s="64">
        <f t="shared" ref="S11:S33" si="1">+R11*18%</f>
        <v>10569.6</v>
      </c>
      <c r="T11" s="64">
        <f t="shared" ref="T11:T33" si="2">+R11+S11</f>
        <v>69289.600000000006</v>
      </c>
      <c r="U11" s="66"/>
    </row>
    <row r="12" spans="1:21" s="56" customFormat="1" ht="19.5" customHeight="1">
      <c r="A12" s="57"/>
      <c r="B12" s="58" t="s">
        <v>71</v>
      </c>
      <c r="C12" s="59">
        <v>46263</v>
      </c>
      <c r="D12" s="60"/>
      <c r="E12" s="61"/>
      <c r="F12" s="62" t="s">
        <v>60</v>
      </c>
      <c r="G12" s="58">
        <v>210</v>
      </c>
      <c r="H12" s="59">
        <v>46266</v>
      </c>
      <c r="I12" s="58" t="s">
        <v>72</v>
      </c>
      <c r="J12" s="63" t="s">
        <v>73</v>
      </c>
      <c r="K12" s="63" t="s">
        <v>61</v>
      </c>
      <c r="L12" s="63" t="s">
        <v>74</v>
      </c>
      <c r="M12" s="68" t="s">
        <v>62</v>
      </c>
      <c r="N12" s="19" t="s">
        <v>101</v>
      </c>
      <c r="O12" s="19">
        <f>+P12/5000</f>
        <v>35</v>
      </c>
      <c r="P12" s="19">
        <v>175000</v>
      </c>
      <c r="Q12" s="19">
        <v>367</v>
      </c>
      <c r="R12" s="64">
        <f t="shared" si="0"/>
        <v>64225</v>
      </c>
      <c r="S12" s="64">
        <f t="shared" si="1"/>
        <v>11560.5</v>
      </c>
      <c r="T12" s="64">
        <f t="shared" si="2"/>
        <v>75785.5</v>
      </c>
      <c r="U12" s="66"/>
    </row>
    <row r="13" spans="1:21" s="56" customFormat="1" ht="19.5" customHeight="1">
      <c r="A13" s="57"/>
      <c r="B13" s="58" t="s">
        <v>71</v>
      </c>
      <c r="C13" s="59">
        <v>46263</v>
      </c>
      <c r="D13" s="60"/>
      <c r="E13" s="61"/>
      <c r="F13" s="62" t="s">
        <v>60</v>
      </c>
      <c r="G13" s="58">
        <v>210</v>
      </c>
      <c r="H13" s="59">
        <v>46266</v>
      </c>
      <c r="I13" s="58" t="s">
        <v>75</v>
      </c>
      <c r="J13" s="63" t="s">
        <v>76</v>
      </c>
      <c r="K13" s="63" t="s">
        <v>61</v>
      </c>
      <c r="L13" s="63" t="s">
        <v>77</v>
      </c>
      <c r="M13" s="68" t="s">
        <v>62</v>
      </c>
      <c r="N13" s="19" t="s">
        <v>102</v>
      </c>
      <c r="O13" s="19">
        <f>+P13/5000</f>
        <v>34</v>
      </c>
      <c r="P13" s="19">
        <v>170000</v>
      </c>
      <c r="Q13" s="19">
        <v>367</v>
      </c>
      <c r="R13" s="64">
        <f t="shared" si="0"/>
        <v>62390</v>
      </c>
      <c r="S13" s="64">
        <f t="shared" si="1"/>
        <v>11230.199999999999</v>
      </c>
      <c r="T13" s="64">
        <f t="shared" si="2"/>
        <v>73620.2</v>
      </c>
      <c r="U13" s="66"/>
    </row>
    <row r="14" spans="1:21" s="56" customFormat="1" ht="19.5" customHeight="1">
      <c r="A14" s="57"/>
      <c r="B14" s="58" t="s">
        <v>71</v>
      </c>
      <c r="C14" s="59">
        <v>46263</v>
      </c>
      <c r="D14" s="60"/>
      <c r="E14" s="61"/>
      <c r="F14" s="62" t="s">
        <v>60</v>
      </c>
      <c r="G14" s="58">
        <v>210</v>
      </c>
      <c r="H14" s="59">
        <v>46266</v>
      </c>
      <c r="I14" s="58" t="s">
        <v>75</v>
      </c>
      <c r="J14" s="63" t="s">
        <v>76</v>
      </c>
      <c r="K14" s="63" t="s">
        <v>61</v>
      </c>
      <c r="L14" s="63" t="s">
        <v>77</v>
      </c>
      <c r="M14" s="68" t="s">
        <v>62</v>
      </c>
      <c r="N14" s="19" t="s">
        <v>103</v>
      </c>
      <c r="O14" s="19">
        <f>+P14/5000</f>
        <v>29</v>
      </c>
      <c r="P14" s="19">
        <v>145000</v>
      </c>
      <c r="Q14" s="19">
        <v>367</v>
      </c>
      <c r="R14" s="64">
        <f t="shared" si="0"/>
        <v>53215</v>
      </c>
      <c r="S14" s="64">
        <f t="shared" si="1"/>
        <v>9578.6999999999989</v>
      </c>
      <c r="T14" s="64">
        <f t="shared" si="2"/>
        <v>62793.7</v>
      </c>
      <c r="U14" s="66"/>
    </row>
    <row r="15" spans="1:21" s="56" customFormat="1" ht="19.5" customHeight="1">
      <c r="A15" s="57"/>
      <c r="B15" s="58" t="s">
        <v>71</v>
      </c>
      <c r="C15" s="59">
        <v>46263</v>
      </c>
      <c r="D15" s="60"/>
      <c r="E15" s="61"/>
      <c r="F15" s="62" t="s">
        <v>60</v>
      </c>
      <c r="G15" s="58">
        <v>210</v>
      </c>
      <c r="H15" s="59">
        <v>46266</v>
      </c>
      <c r="I15" s="58" t="s">
        <v>75</v>
      </c>
      <c r="J15" s="63" t="s">
        <v>76</v>
      </c>
      <c r="K15" s="63" t="s">
        <v>61</v>
      </c>
      <c r="L15" s="63" t="s">
        <v>77</v>
      </c>
      <c r="M15" s="68" t="s">
        <v>62</v>
      </c>
      <c r="N15" s="19" t="s">
        <v>104</v>
      </c>
      <c r="O15" s="19">
        <f>+P15/5000</f>
        <v>18</v>
      </c>
      <c r="P15" s="19">
        <v>90000</v>
      </c>
      <c r="Q15" s="19">
        <v>367</v>
      </c>
      <c r="R15" s="64">
        <f t="shared" si="0"/>
        <v>33030</v>
      </c>
      <c r="S15" s="64">
        <f t="shared" si="1"/>
        <v>5945.4</v>
      </c>
      <c r="T15" s="64">
        <f t="shared" si="2"/>
        <v>38975.4</v>
      </c>
      <c r="U15" s="66"/>
    </row>
    <row r="16" spans="1:21" s="56" customFormat="1" ht="19.5" customHeight="1">
      <c r="A16" s="57"/>
      <c r="B16" s="58" t="s">
        <v>71</v>
      </c>
      <c r="C16" s="59">
        <v>46263</v>
      </c>
      <c r="D16" s="60"/>
      <c r="E16" s="61"/>
      <c r="F16" s="62" t="s">
        <v>60</v>
      </c>
      <c r="G16" s="58">
        <v>210</v>
      </c>
      <c r="H16" s="59">
        <v>46266</v>
      </c>
      <c r="I16" s="58" t="s">
        <v>78</v>
      </c>
      <c r="J16" s="63" t="s">
        <v>79</v>
      </c>
      <c r="K16" s="63" t="s">
        <v>61</v>
      </c>
      <c r="L16" s="63" t="s">
        <v>74</v>
      </c>
      <c r="M16" s="68" t="s">
        <v>62</v>
      </c>
      <c r="N16" s="19" t="s">
        <v>105</v>
      </c>
      <c r="O16" s="19">
        <f>+P16/2200</f>
        <v>66</v>
      </c>
      <c r="P16" s="19">
        <v>145200</v>
      </c>
      <c r="Q16" s="19">
        <v>764</v>
      </c>
      <c r="R16" s="64">
        <f t="shared" si="0"/>
        <v>110932.8</v>
      </c>
      <c r="S16" s="64">
        <f t="shared" si="1"/>
        <v>19967.903999999999</v>
      </c>
      <c r="T16" s="64">
        <f t="shared" si="2"/>
        <v>130900.704</v>
      </c>
      <c r="U16" s="66"/>
    </row>
    <row r="17" spans="1:21" s="56" customFormat="1" ht="19.5" customHeight="1">
      <c r="A17" s="57"/>
      <c r="B17" s="58" t="s">
        <v>71</v>
      </c>
      <c r="C17" s="59">
        <v>46263</v>
      </c>
      <c r="D17" s="60"/>
      <c r="E17" s="61"/>
      <c r="F17" s="62" t="s">
        <v>60</v>
      </c>
      <c r="G17" s="58">
        <v>210</v>
      </c>
      <c r="H17" s="59">
        <v>46266</v>
      </c>
      <c r="I17" s="58" t="s">
        <v>80</v>
      </c>
      <c r="J17" s="63" t="s">
        <v>81</v>
      </c>
      <c r="K17" s="63" t="s">
        <v>61</v>
      </c>
      <c r="L17" s="63" t="s">
        <v>82</v>
      </c>
      <c r="M17" s="68" t="s">
        <v>62</v>
      </c>
      <c r="N17" s="19" t="s">
        <v>106</v>
      </c>
      <c r="O17" s="19">
        <f>+P17/1150</f>
        <v>54</v>
      </c>
      <c r="P17" s="19">
        <v>62100</v>
      </c>
      <c r="Q17" s="19">
        <v>1518</v>
      </c>
      <c r="R17" s="64">
        <f t="shared" si="0"/>
        <v>94267.8</v>
      </c>
      <c r="S17" s="64">
        <f t="shared" si="1"/>
        <v>16968.204000000002</v>
      </c>
      <c r="T17" s="64">
        <f t="shared" si="2"/>
        <v>111236.004</v>
      </c>
      <c r="U17" s="66"/>
    </row>
    <row r="18" spans="1:21" s="56" customFormat="1" ht="19.5" customHeight="1">
      <c r="A18" s="57"/>
      <c r="B18" s="58" t="s">
        <v>71</v>
      </c>
      <c r="C18" s="59">
        <v>46263</v>
      </c>
      <c r="D18" s="60"/>
      <c r="E18" s="61"/>
      <c r="F18" s="62" t="s">
        <v>60</v>
      </c>
      <c r="G18" s="58">
        <v>210</v>
      </c>
      <c r="H18" s="59">
        <v>46266</v>
      </c>
      <c r="I18" s="58" t="s">
        <v>83</v>
      </c>
      <c r="J18" s="63" t="s">
        <v>84</v>
      </c>
      <c r="K18" s="63" t="s">
        <v>61</v>
      </c>
      <c r="L18" s="63" t="s">
        <v>85</v>
      </c>
      <c r="M18" s="68" t="s">
        <v>62</v>
      </c>
      <c r="N18" s="19" t="s">
        <v>107</v>
      </c>
      <c r="O18" s="19">
        <f>+P18/1050</f>
        <v>59</v>
      </c>
      <c r="P18" s="19">
        <v>61950</v>
      </c>
      <c r="Q18" s="19">
        <v>1660</v>
      </c>
      <c r="R18" s="64">
        <f t="shared" si="0"/>
        <v>102837</v>
      </c>
      <c r="S18" s="64">
        <f t="shared" si="1"/>
        <v>18510.66</v>
      </c>
      <c r="T18" s="64">
        <f t="shared" si="2"/>
        <v>121347.66</v>
      </c>
      <c r="U18" s="66"/>
    </row>
    <row r="19" spans="1:21" s="56" customFormat="1" ht="19.5" customHeight="1">
      <c r="A19" s="57"/>
      <c r="B19" s="58" t="s">
        <v>71</v>
      </c>
      <c r="C19" s="59">
        <v>46263</v>
      </c>
      <c r="D19" s="60"/>
      <c r="E19" s="61"/>
      <c r="F19" s="62" t="s">
        <v>60</v>
      </c>
      <c r="G19" s="58">
        <v>210</v>
      </c>
      <c r="H19" s="59">
        <v>46266</v>
      </c>
      <c r="I19" s="58" t="s">
        <v>86</v>
      </c>
      <c r="J19" s="63" t="s">
        <v>87</v>
      </c>
      <c r="K19" s="63" t="s">
        <v>61</v>
      </c>
      <c r="L19" s="63" t="s">
        <v>85</v>
      </c>
      <c r="M19" s="68" t="s">
        <v>62</v>
      </c>
      <c r="N19" s="19" t="s">
        <v>108</v>
      </c>
      <c r="O19" s="19">
        <f>+P19/700</f>
        <v>63</v>
      </c>
      <c r="P19" s="19">
        <v>44100</v>
      </c>
      <c r="Q19" s="19">
        <v>2336</v>
      </c>
      <c r="R19" s="64">
        <f t="shared" si="0"/>
        <v>103017.60000000001</v>
      </c>
      <c r="S19" s="64">
        <f t="shared" si="1"/>
        <v>18543.168000000001</v>
      </c>
      <c r="T19" s="64">
        <f t="shared" si="2"/>
        <v>121560.76800000001</v>
      </c>
      <c r="U19" s="66"/>
    </row>
    <row r="20" spans="1:21" s="56" customFormat="1" ht="19.5" customHeight="1">
      <c r="A20" s="57"/>
      <c r="B20" s="58" t="s">
        <v>71</v>
      </c>
      <c r="C20" s="59">
        <v>46263</v>
      </c>
      <c r="D20" s="60"/>
      <c r="E20" s="61"/>
      <c r="F20" s="62" t="s">
        <v>60</v>
      </c>
      <c r="G20" s="58">
        <v>210</v>
      </c>
      <c r="H20" s="59">
        <v>46266</v>
      </c>
      <c r="I20" s="58" t="s">
        <v>88</v>
      </c>
      <c r="J20" s="63" t="s">
        <v>89</v>
      </c>
      <c r="K20" s="63" t="s">
        <v>61</v>
      </c>
      <c r="L20" s="63" t="s">
        <v>77</v>
      </c>
      <c r="M20" s="68" t="s">
        <v>62</v>
      </c>
      <c r="N20" s="19" t="s">
        <v>109</v>
      </c>
      <c r="O20" s="19">
        <f>+P20/1050</f>
        <v>57</v>
      </c>
      <c r="P20" s="19">
        <v>59850</v>
      </c>
      <c r="Q20" s="19">
        <v>1660</v>
      </c>
      <c r="R20" s="64">
        <f t="shared" si="0"/>
        <v>99351</v>
      </c>
      <c r="S20" s="64">
        <f t="shared" si="1"/>
        <v>17883.18</v>
      </c>
      <c r="T20" s="64">
        <f t="shared" si="2"/>
        <v>117234.18</v>
      </c>
      <c r="U20" s="66"/>
    </row>
    <row r="21" spans="1:21" s="56" customFormat="1" ht="19.5" customHeight="1">
      <c r="A21" s="57"/>
      <c r="B21" s="58" t="s">
        <v>71</v>
      </c>
      <c r="C21" s="59">
        <v>46263</v>
      </c>
      <c r="D21" s="60"/>
      <c r="E21" s="61"/>
      <c r="F21" s="62" t="s">
        <v>60</v>
      </c>
      <c r="G21" s="58">
        <v>210</v>
      </c>
      <c r="H21" s="59">
        <v>46266</v>
      </c>
      <c r="I21" s="58" t="s">
        <v>90</v>
      </c>
      <c r="J21" s="63" t="s">
        <v>91</v>
      </c>
      <c r="K21" s="63" t="s">
        <v>61</v>
      </c>
      <c r="L21" s="63" t="s">
        <v>92</v>
      </c>
      <c r="M21" s="68" t="s">
        <v>62</v>
      </c>
      <c r="N21" s="19" t="s">
        <v>110</v>
      </c>
      <c r="O21" s="19">
        <f>+P21/6500</f>
        <v>26</v>
      </c>
      <c r="P21" s="19">
        <v>169000</v>
      </c>
      <c r="Q21" s="19">
        <v>295</v>
      </c>
      <c r="R21" s="64">
        <f t="shared" si="0"/>
        <v>49855</v>
      </c>
      <c r="S21" s="64">
        <f t="shared" si="1"/>
        <v>8973.9</v>
      </c>
      <c r="T21" s="64">
        <f t="shared" si="2"/>
        <v>58828.9</v>
      </c>
      <c r="U21" s="66"/>
    </row>
    <row r="22" spans="1:21" s="56" customFormat="1" ht="19.5" customHeight="1">
      <c r="A22" s="57"/>
      <c r="B22" s="58" t="s">
        <v>71</v>
      </c>
      <c r="C22" s="59">
        <v>46263</v>
      </c>
      <c r="D22" s="60"/>
      <c r="E22" s="61"/>
      <c r="F22" s="62" t="s">
        <v>60</v>
      </c>
      <c r="G22" s="58">
        <v>210</v>
      </c>
      <c r="H22" s="59">
        <v>46266</v>
      </c>
      <c r="I22" s="58" t="s">
        <v>93</v>
      </c>
      <c r="J22" s="63" t="s">
        <v>94</v>
      </c>
      <c r="K22" s="63" t="s">
        <v>61</v>
      </c>
      <c r="L22" s="63" t="s">
        <v>95</v>
      </c>
      <c r="M22" s="68" t="s">
        <v>62</v>
      </c>
      <c r="N22" s="19" t="s">
        <v>111</v>
      </c>
      <c r="O22" s="19">
        <f>+P22/1050</f>
        <v>42</v>
      </c>
      <c r="P22" s="19">
        <v>44100</v>
      </c>
      <c r="Q22" s="19">
        <v>1660</v>
      </c>
      <c r="R22" s="64">
        <f t="shared" si="0"/>
        <v>73206</v>
      </c>
      <c r="S22" s="64">
        <f t="shared" si="1"/>
        <v>13177.08</v>
      </c>
      <c r="T22" s="64">
        <f t="shared" si="2"/>
        <v>86383.08</v>
      </c>
      <c r="U22" s="66"/>
    </row>
    <row r="23" spans="1:21" s="56" customFormat="1" ht="19.5" customHeight="1">
      <c r="A23" s="57"/>
      <c r="B23" s="58" t="s">
        <v>71</v>
      </c>
      <c r="C23" s="59">
        <v>46263</v>
      </c>
      <c r="D23" s="60"/>
      <c r="E23" s="61"/>
      <c r="F23" s="62" t="s">
        <v>60</v>
      </c>
      <c r="G23" s="58">
        <v>210</v>
      </c>
      <c r="H23" s="59">
        <v>46266</v>
      </c>
      <c r="I23" s="58" t="s">
        <v>96</v>
      </c>
      <c r="J23" s="63" t="s">
        <v>97</v>
      </c>
      <c r="K23" s="63" t="s">
        <v>61</v>
      </c>
      <c r="L23" s="63" t="s">
        <v>82</v>
      </c>
      <c r="M23" s="68" t="s">
        <v>62</v>
      </c>
      <c r="N23" s="19" t="s">
        <v>112</v>
      </c>
      <c r="O23" s="19">
        <f>+P23/1050</f>
        <v>60</v>
      </c>
      <c r="P23" s="19">
        <v>63000</v>
      </c>
      <c r="Q23" s="19">
        <v>1660</v>
      </c>
      <c r="R23" s="64">
        <f t="shared" si="0"/>
        <v>104580</v>
      </c>
      <c r="S23" s="64">
        <f t="shared" si="1"/>
        <v>18824.399999999998</v>
      </c>
      <c r="T23" s="64">
        <f t="shared" si="2"/>
        <v>123404.4</v>
      </c>
      <c r="U23" s="66"/>
    </row>
    <row r="24" spans="1:21" s="56" customFormat="1" ht="19.5" customHeight="1">
      <c r="A24" s="57"/>
      <c r="B24" s="58" t="s">
        <v>71</v>
      </c>
      <c r="C24" s="59">
        <v>46263</v>
      </c>
      <c r="D24" s="60"/>
      <c r="E24" s="61"/>
      <c r="F24" s="62" t="s">
        <v>60</v>
      </c>
      <c r="G24" s="58">
        <v>210</v>
      </c>
      <c r="H24" s="59">
        <v>46266</v>
      </c>
      <c r="I24" s="58" t="s">
        <v>98</v>
      </c>
      <c r="J24" s="63" t="s">
        <v>99</v>
      </c>
      <c r="K24" s="63" t="s">
        <v>61</v>
      </c>
      <c r="L24" s="63" t="s">
        <v>92</v>
      </c>
      <c r="M24" s="68" t="s">
        <v>62</v>
      </c>
      <c r="N24" s="19" t="s">
        <v>113</v>
      </c>
      <c r="O24" s="19">
        <f>+P24/4200</f>
        <v>59</v>
      </c>
      <c r="P24" s="19">
        <v>247800</v>
      </c>
      <c r="Q24" s="19">
        <v>431</v>
      </c>
      <c r="R24" s="64">
        <f t="shared" si="0"/>
        <v>106801.8</v>
      </c>
      <c r="S24" s="64">
        <f t="shared" si="1"/>
        <v>19224.324000000001</v>
      </c>
      <c r="T24" s="64">
        <f t="shared" si="2"/>
        <v>126026.12400000001</v>
      </c>
      <c r="U24" s="66"/>
    </row>
    <row r="25" spans="1:21" s="56" customFormat="1" ht="19.5" customHeight="1">
      <c r="A25" s="57"/>
      <c r="B25" s="58" t="s">
        <v>252</v>
      </c>
      <c r="C25" s="59">
        <v>46264</v>
      </c>
      <c r="D25" s="60"/>
      <c r="E25" s="61"/>
      <c r="F25" s="62" t="s">
        <v>60</v>
      </c>
      <c r="G25" s="58">
        <v>211</v>
      </c>
      <c r="H25" s="59">
        <v>46267</v>
      </c>
      <c r="I25" s="58" t="s">
        <v>242</v>
      </c>
      <c r="J25" s="63" t="s">
        <v>243</v>
      </c>
      <c r="K25" s="63" t="s">
        <v>61</v>
      </c>
      <c r="L25" s="184" t="s">
        <v>65</v>
      </c>
      <c r="M25" s="68" t="s">
        <v>62</v>
      </c>
      <c r="N25" s="19" t="s">
        <v>253</v>
      </c>
      <c r="O25" s="19">
        <f>+P25/15000</f>
        <v>18</v>
      </c>
      <c r="P25" s="19">
        <v>270000</v>
      </c>
      <c r="Q25" s="19">
        <v>178</v>
      </c>
      <c r="R25" s="64">
        <f t="shared" si="0"/>
        <v>48060</v>
      </c>
      <c r="S25" s="64">
        <f t="shared" si="1"/>
        <v>8650.7999999999993</v>
      </c>
      <c r="T25" s="64">
        <f t="shared" si="2"/>
        <v>56710.8</v>
      </c>
      <c r="U25" s="66" t="s">
        <v>260</v>
      </c>
    </row>
    <row r="26" spans="1:21" s="56" customFormat="1" ht="19.5" customHeight="1">
      <c r="A26" s="57"/>
      <c r="B26" s="58" t="s">
        <v>252</v>
      </c>
      <c r="C26" s="59">
        <v>46264</v>
      </c>
      <c r="D26" s="60"/>
      <c r="E26" s="61"/>
      <c r="F26" s="62" t="s">
        <v>60</v>
      </c>
      <c r="G26" s="58">
        <v>211</v>
      </c>
      <c r="H26" s="59">
        <v>46267</v>
      </c>
      <c r="I26" s="58" t="s">
        <v>244</v>
      </c>
      <c r="J26" s="63" t="s">
        <v>245</v>
      </c>
      <c r="K26" s="63" t="s">
        <v>61</v>
      </c>
      <c r="L26" s="184" t="s">
        <v>77</v>
      </c>
      <c r="M26" s="68" t="s">
        <v>62</v>
      </c>
      <c r="N26" s="19" t="s">
        <v>254</v>
      </c>
      <c r="O26" s="19">
        <f>+P26/15000</f>
        <v>18</v>
      </c>
      <c r="P26" s="19">
        <v>270000</v>
      </c>
      <c r="Q26" s="19">
        <v>178</v>
      </c>
      <c r="R26" s="64">
        <f t="shared" si="0"/>
        <v>48060</v>
      </c>
      <c r="S26" s="64">
        <f t="shared" si="1"/>
        <v>8650.7999999999993</v>
      </c>
      <c r="T26" s="64">
        <f t="shared" si="2"/>
        <v>56710.8</v>
      </c>
      <c r="U26" s="66" t="s">
        <v>260</v>
      </c>
    </row>
    <row r="27" spans="1:21" s="56" customFormat="1" ht="19.5" customHeight="1">
      <c r="A27" s="57"/>
      <c r="B27" s="58" t="s">
        <v>252</v>
      </c>
      <c r="C27" s="59">
        <v>46264</v>
      </c>
      <c r="D27" s="60"/>
      <c r="E27" s="61"/>
      <c r="F27" s="62" t="s">
        <v>60</v>
      </c>
      <c r="G27" s="58">
        <v>211</v>
      </c>
      <c r="H27" s="59">
        <v>46267</v>
      </c>
      <c r="I27" s="58" t="s">
        <v>246</v>
      </c>
      <c r="J27" s="63" t="s">
        <v>247</v>
      </c>
      <c r="K27" s="63" t="s">
        <v>61</v>
      </c>
      <c r="L27" s="184" t="s">
        <v>164</v>
      </c>
      <c r="M27" s="68" t="s">
        <v>62</v>
      </c>
      <c r="N27" s="19" t="s">
        <v>255</v>
      </c>
      <c r="O27" s="19">
        <f>+P27/6500</f>
        <v>28</v>
      </c>
      <c r="P27" s="19">
        <v>182000</v>
      </c>
      <c r="Q27" s="19">
        <v>295</v>
      </c>
      <c r="R27" s="64">
        <f t="shared" si="0"/>
        <v>53690</v>
      </c>
      <c r="S27" s="64">
        <f t="shared" si="1"/>
        <v>9664.1999999999989</v>
      </c>
      <c r="T27" s="64">
        <f t="shared" si="2"/>
        <v>63354.2</v>
      </c>
      <c r="U27" s="66" t="s">
        <v>260</v>
      </c>
    </row>
    <row r="28" spans="1:21" s="56" customFormat="1" ht="19.5" customHeight="1">
      <c r="A28" s="57"/>
      <c r="B28" s="58" t="s">
        <v>252</v>
      </c>
      <c r="C28" s="59">
        <v>46264</v>
      </c>
      <c r="D28" s="60"/>
      <c r="E28" s="61"/>
      <c r="F28" s="62" t="s">
        <v>60</v>
      </c>
      <c r="G28" s="58">
        <v>211</v>
      </c>
      <c r="H28" s="59">
        <v>46267</v>
      </c>
      <c r="I28" s="58" t="s">
        <v>248</v>
      </c>
      <c r="J28" s="63" t="s">
        <v>249</v>
      </c>
      <c r="K28" s="63" t="s">
        <v>61</v>
      </c>
      <c r="L28" s="184" t="s">
        <v>77</v>
      </c>
      <c r="M28" s="68" t="s">
        <v>62</v>
      </c>
      <c r="N28" s="19" t="s">
        <v>256</v>
      </c>
      <c r="O28" s="19">
        <f>+P28/2200</f>
        <v>67</v>
      </c>
      <c r="P28" s="19">
        <v>147400</v>
      </c>
      <c r="Q28" s="19">
        <v>764</v>
      </c>
      <c r="R28" s="64">
        <f t="shared" si="0"/>
        <v>112613.6</v>
      </c>
      <c r="S28" s="64">
        <f t="shared" si="1"/>
        <v>20270.448</v>
      </c>
      <c r="T28" s="64">
        <f t="shared" si="2"/>
        <v>132884.04800000001</v>
      </c>
      <c r="U28" s="66" t="s">
        <v>260</v>
      </c>
    </row>
    <row r="29" spans="1:21" s="56" customFormat="1" ht="19.5" customHeight="1">
      <c r="A29" s="57"/>
      <c r="B29" s="58" t="s">
        <v>252</v>
      </c>
      <c r="C29" s="59">
        <v>46264</v>
      </c>
      <c r="D29" s="60"/>
      <c r="E29" s="61"/>
      <c r="F29" s="62" t="s">
        <v>60</v>
      </c>
      <c r="G29" s="58">
        <v>211</v>
      </c>
      <c r="H29" s="59">
        <v>46267</v>
      </c>
      <c r="I29" s="58" t="s">
        <v>250</v>
      </c>
      <c r="J29" s="63" t="s">
        <v>251</v>
      </c>
      <c r="K29" s="63" t="s">
        <v>61</v>
      </c>
      <c r="L29" s="184" t="s">
        <v>74</v>
      </c>
      <c r="M29" s="68" t="s">
        <v>62</v>
      </c>
      <c r="N29" s="19" t="s">
        <v>257</v>
      </c>
      <c r="O29" s="19">
        <f>+P29/15000</f>
        <v>31</v>
      </c>
      <c r="P29" s="19">
        <v>465000</v>
      </c>
      <c r="Q29" s="19">
        <v>178</v>
      </c>
      <c r="R29" s="64">
        <f t="shared" si="0"/>
        <v>82770</v>
      </c>
      <c r="S29" s="64">
        <f t="shared" si="1"/>
        <v>14898.599999999999</v>
      </c>
      <c r="T29" s="64">
        <f t="shared" si="2"/>
        <v>97668.6</v>
      </c>
      <c r="U29" s="66" t="s">
        <v>260</v>
      </c>
    </row>
    <row r="30" spans="1:21" s="56" customFormat="1" ht="19.5" customHeight="1">
      <c r="A30" s="57"/>
      <c r="B30" s="58" t="s">
        <v>258</v>
      </c>
      <c r="C30" s="59">
        <v>46262</v>
      </c>
      <c r="D30" s="60"/>
      <c r="E30" s="61"/>
      <c r="F30" s="62" t="s">
        <v>261</v>
      </c>
      <c r="G30" s="58">
        <v>212</v>
      </c>
      <c r="H30" s="59">
        <v>46267</v>
      </c>
      <c r="I30" s="58" t="s">
        <v>244</v>
      </c>
      <c r="J30" s="63" t="s">
        <v>245</v>
      </c>
      <c r="K30" s="63" t="s">
        <v>61</v>
      </c>
      <c r="L30" s="184" t="s">
        <v>77</v>
      </c>
      <c r="M30" s="68" t="s">
        <v>62</v>
      </c>
      <c r="N30" s="19" t="s">
        <v>259</v>
      </c>
      <c r="O30" s="19">
        <f>+P30/15000</f>
        <v>9</v>
      </c>
      <c r="P30" s="19">
        <v>135000</v>
      </c>
      <c r="Q30" s="19">
        <v>178</v>
      </c>
      <c r="R30" s="64">
        <f t="shared" si="0"/>
        <v>24030</v>
      </c>
      <c r="S30" s="64">
        <f t="shared" si="1"/>
        <v>4325.3999999999996</v>
      </c>
      <c r="T30" s="64">
        <f t="shared" si="2"/>
        <v>28355.4</v>
      </c>
      <c r="U30" s="66" t="s">
        <v>260</v>
      </c>
    </row>
    <row r="31" spans="1:21" s="56" customFormat="1" ht="19.5" customHeight="1">
      <c r="A31" s="57"/>
      <c r="B31" s="58" t="s">
        <v>281</v>
      </c>
      <c r="C31" s="59">
        <v>46266</v>
      </c>
      <c r="D31" s="60"/>
      <c r="E31" s="61"/>
      <c r="F31" s="62" t="s">
        <v>261</v>
      </c>
      <c r="G31" s="58">
        <v>213</v>
      </c>
      <c r="H31" s="59">
        <v>46268</v>
      </c>
      <c r="I31" s="58" t="s">
        <v>244</v>
      </c>
      <c r="J31" s="63" t="s">
        <v>245</v>
      </c>
      <c r="K31" s="63" t="s">
        <v>61</v>
      </c>
      <c r="L31" s="184" t="s">
        <v>77</v>
      </c>
      <c r="M31" s="68" t="s">
        <v>62</v>
      </c>
      <c r="N31" s="19" t="s">
        <v>287</v>
      </c>
      <c r="O31" s="19">
        <f>+P31/15000</f>
        <v>18</v>
      </c>
      <c r="P31" s="19">
        <v>270000</v>
      </c>
      <c r="Q31" s="19">
        <v>178</v>
      </c>
      <c r="R31" s="64">
        <f t="shared" si="0"/>
        <v>48060</v>
      </c>
      <c r="S31" s="64">
        <f t="shared" si="1"/>
        <v>8650.7999999999993</v>
      </c>
      <c r="T31" s="64">
        <f t="shared" si="2"/>
        <v>56710.8</v>
      </c>
      <c r="U31" s="66" t="s">
        <v>260</v>
      </c>
    </row>
    <row r="32" spans="1:21" s="56" customFormat="1" ht="19.5" customHeight="1">
      <c r="A32" s="57"/>
      <c r="B32" s="58" t="s">
        <v>281</v>
      </c>
      <c r="C32" s="59">
        <v>46266</v>
      </c>
      <c r="D32" s="60"/>
      <c r="E32" s="61"/>
      <c r="F32" s="62" t="s">
        <v>261</v>
      </c>
      <c r="G32" s="58">
        <v>213</v>
      </c>
      <c r="H32" s="59">
        <v>46268</v>
      </c>
      <c r="I32" s="58" t="s">
        <v>282</v>
      </c>
      <c r="J32" s="63" t="s">
        <v>283</v>
      </c>
      <c r="K32" s="63" t="s">
        <v>61</v>
      </c>
      <c r="L32" s="184" t="s">
        <v>95</v>
      </c>
      <c r="M32" s="68" t="s">
        <v>62</v>
      </c>
      <c r="N32" s="19" t="s">
        <v>288</v>
      </c>
      <c r="O32" s="19">
        <f>+P32/5000</f>
        <v>33</v>
      </c>
      <c r="P32" s="19">
        <v>165000</v>
      </c>
      <c r="Q32" s="19">
        <v>367</v>
      </c>
      <c r="R32" s="64">
        <f t="shared" si="0"/>
        <v>60555</v>
      </c>
      <c r="S32" s="64">
        <f t="shared" si="1"/>
        <v>10899.9</v>
      </c>
      <c r="T32" s="64">
        <f t="shared" si="2"/>
        <v>71454.899999999994</v>
      </c>
      <c r="U32" s="66" t="s">
        <v>260</v>
      </c>
    </row>
    <row r="33" spans="1:21" s="56" customFormat="1" ht="19.5" customHeight="1">
      <c r="A33" s="57"/>
      <c r="B33" s="58" t="s">
        <v>284</v>
      </c>
      <c r="C33" s="59">
        <v>46267</v>
      </c>
      <c r="D33" s="60"/>
      <c r="E33" s="61"/>
      <c r="F33" s="62" t="s">
        <v>261</v>
      </c>
      <c r="G33" s="58">
        <v>214</v>
      </c>
      <c r="H33" s="59">
        <v>46268</v>
      </c>
      <c r="I33" s="58" t="s">
        <v>285</v>
      </c>
      <c r="J33" s="63" t="s">
        <v>286</v>
      </c>
      <c r="K33" s="63" t="s">
        <v>61</v>
      </c>
      <c r="L33" s="184" t="s">
        <v>95</v>
      </c>
      <c r="M33" s="68" t="s">
        <v>62</v>
      </c>
      <c r="N33" s="19" t="s">
        <v>289</v>
      </c>
      <c r="O33" s="19">
        <f>+P33/15000</f>
        <v>18</v>
      </c>
      <c r="P33" s="19">
        <v>270000</v>
      </c>
      <c r="Q33" s="19">
        <v>178</v>
      </c>
      <c r="R33" s="64">
        <f t="shared" si="0"/>
        <v>48060</v>
      </c>
      <c r="S33" s="64">
        <f t="shared" si="1"/>
        <v>8650.7999999999993</v>
      </c>
      <c r="T33" s="64">
        <f t="shared" si="2"/>
        <v>56710.8</v>
      </c>
      <c r="U33" s="66" t="s">
        <v>260</v>
      </c>
    </row>
    <row r="34" spans="1:21" s="56" customFormat="1" ht="19.5" customHeight="1">
      <c r="A34" s="57"/>
      <c r="B34" s="58" t="s">
        <v>296</v>
      </c>
      <c r="C34" s="59">
        <v>46268</v>
      </c>
      <c r="D34" s="60"/>
      <c r="E34" s="61"/>
      <c r="F34" s="62" t="s">
        <v>261</v>
      </c>
      <c r="G34" s="58">
        <v>215</v>
      </c>
      <c r="H34" s="59">
        <v>46269</v>
      </c>
      <c r="I34" s="58" t="s">
        <v>244</v>
      </c>
      <c r="J34" s="63" t="s">
        <v>245</v>
      </c>
      <c r="K34" s="63" t="s">
        <v>61</v>
      </c>
      <c r="L34" s="184" t="s">
        <v>77</v>
      </c>
      <c r="M34" s="68" t="s">
        <v>62</v>
      </c>
      <c r="N34" s="19" t="s">
        <v>297</v>
      </c>
      <c r="O34" s="19">
        <f>+P34/15000</f>
        <v>15</v>
      </c>
      <c r="P34" s="19">
        <v>225000</v>
      </c>
      <c r="Q34" s="19">
        <v>178</v>
      </c>
      <c r="R34" s="64">
        <f t="shared" ref="R34:R44" si="3">+P34*Q34/1000</f>
        <v>40050</v>
      </c>
      <c r="S34" s="64">
        <f t="shared" ref="S34:S44" si="4">+R34*18%</f>
        <v>7209</v>
      </c>
      <c r="T34" s="64">
        <f t="shared" ref="T34:T44" si="5">+R34+S34</f>
        <v>47259</v>
      </c>
      <c r="U34" s="66" t="s">
        <v>260</v>
      </c>
    </row>
    <row r="35" spans="1:21" s="56" customFormat="1" ht="19.5" customHeight="1">
      <c r="A35" s="57"/>
      <c r="B35" s="58" t="s">
        <v>302</v>
      </c>
      <c r="C35" s="59">
        <v>46265</v>
      </c>
      <c r="D35" s="60"/>
      <c r="E35" s="61"/>
      <c r="F35" s="62" t="s">
        <v>60</v>
      </c>
      <c r="G35" s="58">
        <v>216</v>
      </c>
      <c r="H35" s="59">
        <v>46270</v>
      </c>
      <c r="I35" s="58" t="s">
        <v>242</v>
      </c>
      <c r="J35" s="63" t="s">
        <v>243</v>
      </c>
      <c r="K35" s="63" t="s">
        <v>61</v>
      </c>
      <c r="L35" s="63" t="s">
        <v>65</v>
      </c>
      <c r="M35" s="68" t="s">
        <v>62</v>
      </c>
      <c r="N35" s="19" t="s">
        <v>313</v>
      </c>
      <c r="O35" s="185">
        <f>+P35/15000</f>
        <v>26</v>
      </c>
      <c r="P35" s="19">
        <v>390000</v>
      </c>
      <c r="Q35" s="19">
        <v>178</v>
      </c>
      <c r="R35" s="64">
        <f t="shared" si="3"/>
        <v>69420</v>
      </c>
      <c r="S35" s="64">
        <f t="shared" si="4"/>
        <v>12495.6</v>
      </c>
      <c r="T35" s="64">
        <f t="shared" si="5"/>
        <v>81915.600000000006</v>
      </c>
      <c r="U35" s="66" t="s">
        <v>260</v>
      </c>
    </row>
    <row r="36" spans="1:21" s="56" customFormat="1" ht="19.5" customHeight="1">
      <c r="A36" s="57"/>
      <c r="B36" s="58" t="s">
        <v>302</v>
      </c>
      <c r="C36" s="59">
        <v>46265</v>
      </c>
      <c r="D36" s="60"/>
      <c r="E36" s="61"/>
      <c r="F36" s="62" t="s">
        <v>60</v>
      </c>
      <c r="G36" s="58">
        <v>216</v>
      </c>
      <c r="H36" s="59">
        <v>46270</v>
      </c>
      <c r="I36" s="58" t="s">
        <v>204</v>
      </c>
      <c r="J36" s="63" t="s">
        <v>193</v>
      </c>
      <c r="K36" s="63" t="s">
        <v>61</v>
      </c>
      <c r="L36" s="63" t="s">
        <v>74</v>
      </c>
      <c r="M36" s="68" t="s">
        <v>62</v>
      </c>
      <c r="N36" s="19" t="s">
        <v>314</v>
      </c>
      <c r="O36" s="185">
        <f>+P36/3200</f>
        <v>63</v>
      </c>
      <c r="P36" s="19">
        <v>201600</v>
      </c>
      <c r="Q36" s="19">
        <v>568</v>
      </c>
      <c r="R36" s="64">
        <f t="shared" si="3"/>
        <v>114508.8</v>
      </c>
      <c r="S36" s="64">
        <f t="shared" si="4"/>
        <v>20611.583999999999</v>
      </c>
      <c r="T36" s="64">
        <f t="shared" si="5"/>
        <v>135120.38399999999</v>
      </c>
      <c r="U36" s="66" t="s">
        <v>260</v>
      </c>
    </row>
    <row r="37" spans="1:21" s="56" customFormat="1" ht="19.5" customHeight="1">
      <c r="A37" s="57"/>
      <c r="B37" s="58" t="s">
        <v>302</v>
      </c>
      <c r="C37" s="59">
        <v>46265</v>
      </c>
      <c r="D37" s="60"/>
      <c r="E37" s="61"/>
      <c r="F37" s="62" t="s">
        <v>60</v>
      </c>
      <c r="G37" s="58">
        <v>216</v>
      </c>
      <c r="H37" s="59">
        <v>46270</v>
      </c>
      <c r="I37" s="58" t="s">
        <v>244</v>
      </c>
      <c r="J37" s="63" t="s">
        <v>245</v>
      </c>
      <c r="K37" s="63" t="s">
        <v>61</v>
      </c>
      <c r="L37" s="63" t="s">
        <v>77</v>
      </c>
      <c r="M37" s="68" t="s">
        <v>62</v>
      </c>
      <c r="N37" s="19" t="s">
        <v>315</v>
      </c>
      <c r="O37" s="185">
        <f>+P37/15000</f>
        <v>18</v>
      </c>
      <c r="P37" s="19">
        <v>270000</v>
      </c>
      <c r="Q37" s="19">
        <v>178</v>
      </c>
      <c r="R37" s="64">
        <f t="shared" si="3"/>
        <v>48060</v>
      </c>
      <c r="S37" s="64">
        <f t="shared" si="4"/>
        <v>8650.7999999999993</v>
      </c>
      <c r="T37" s="64">
        <f t="shared" si="5"/>
        <v>56710.8</v>
      </c>
      <c r="U37" s="66" t="s">
        <v>260</v>
      </c>
    </row>
    <row r="38" spans="1:21" s="56" customFormat="1" ht="19.5" customHeight="1">
      <c r="A38" s="57"/>
      <c r="B38" s="58" t="s">
        <v>302</v>
      </c>
      <c r="C38" s="59">
        <v>46265</v>
      </c>
      <c r="D38" s="60"/>
      <c r="E38" s="61"/>
      <c r="F38" s="62" t="s">
        <v>60</v>
      </c>
      <c r="G38" s="58">
        <v>216</v>
      </c>
      <c r="H38" s="59">
        <v>46270</v>
      </c>
      <c r="I38" s="58" t="s">
        <v>244</v>
      </c>
      <c r="J38" s="63" t="s">
        <v>245</v>
      </c>
      <c r="K38" s="63" t="s">
        <v>61</v>
      </c>
      <c r="L38" s="63" t="s">
        <v>77</v>
      </c>
      <c r="M38" s="68" t="s">
        <v>62</v>
      </c>
      <c r="N38" s="19" t="s">
        <v>316</v>
      </c>
      <c r="O38" s="185">
        <f>+P38/15000</f>
        <v>10</v>
      </c>
      <c r="P38" s="19">
        <v>150000</v>
      </c>
      <c r="Q38" s="19">
        <v>178</v>
      </c>
      <c r="R38" s="64">
        <f t="shared" si="3"/>
        <v>26700</v>
      </c>
      <c r="S38" s="64">
        <f t="shared" si="4"/>
        <v>4806</v>
      </c>
      <c r="T38" s="64">
        <f t="shared" si="5"/>
        <v>31506</v>
      </c>
      <c r="U38" s="66" t="s">
        <v>260</v>
      </c>
    </row>
    <row r="39" spans="1:21" s="56" customFormat="1" ht="19.5" customHeight="1">
      <c r="A39" s="57"/>
      <c r="B39" s="58" t="s">
        <v>302</v>
      </c>
      <c r="C39" s="59">
        <v>46265</v>
      </c>
      <c r="D39" s="60"/>
      <c r="E39" s="61"/>
      <c r="F39" s="62" t="s">
        <v>60</v>
      </c>
      <c r="G39" s="58">
        <v>216</v>
      </c>
      <c r="H39" s="59">
        <v>46270</v>
      </c>
      <c r="I39" s="58" t="s">
        <v>303</v>
      </c>
      <c r="J39" s="63" t="s">
        <v>64</v>
      </c>
      <c r="K39" s="63" t="s">
        <v>61</v>
      </c>
      <c r="L39" s="63" t="s">
        <v>65</v>
      </c>
      <c r="M39" s="68" t="s">
        <v>62</v>
      </c>
      <c r="N39" s="19" t="s">
        <v>317</v>
      </c>
      <c r="O39" s="185">
        <f>+P39/3200</f>
        <v>52</v>
      </c>
      <c r="P39" s="19">
        <v>166400</v>
      </c>
      <c r="Q39" s="19">
        <v>568</v>
      </c>
      <c r="R39" s="64">
        <f t="shared" si="3"/>
        <v>94515.199999999997</v>
      </c>
      <c r="S39" s="64">
        <f t="shared" si="4"/>
        <v>17012.735999999997</v>
      </c>
      <c r="T39" s="64">
        <f t="shared" si="5"/>
        <v>111527.93599999999</v>
      </c>
      <c r="U39" s="66" t="s">
        <v>260</v>
      </c>
    </row>
    <row r="40" spans="1:21" s="56" customFormat="1" ht="19.5" customHeight="1">
      <c r="A40" s="57"/>
      <c r="B40" s="58" t="s">
        <v>302</v>
      </c>
      <c r="C40" s="59">
        <v>46265</v>
      </c>
      <c r="D40" s="60"/>
      <c r="E40" s="61"/>
      <c r="F40" s="62" t="s">
        <v>60</v>
      </c>
      <c r="G40" s="58">
        <v>216</v>
      </c>
      <c r="H40" s="59">
        <v>46270</v>
      </c>
      <c r="I40" s="58" t="s">
        <v>304</v>
      </c>
      <c r="J40" s="63" t="s">
        <v>305</v>
      </c>
      <c r="K40" s="63" t="s">
        <v>61</v>
      </c>
      <c r="L40" s="63" t="s">
        <v>95</v>
      </c>
      <c r="M40" s="68" t="s">
        <v>62</v>
      </c>
      <c r="N40" s="19" t="s">
        <v>318</v>
      </c>
      <c r="O40" s="185">
        <f>+P40/1150</f>
        <v>63</v>
      </c>
      <c r="P40" s="19">
        <v>72450</v>
      </c>
      <c r="Q40" s="19">
        <v>1518</v>
      </c>
      <c r="R40" s="64">
        <f t="shared" si="3"/>
        <v>109979.1</v>
      </c>
      <c r="S40" s="64">
        <f t="shared" si="4"/>
        <v>19796.238000000001</v>
      </c>
      <c r="T40" s="64">
        <f t="shared" si="5"/>
        <v>129775.338</v>
      </c>
      <c r="U40" s="66" t="s">
        <v>260</v>
      </c>
    </row>
    <row r="41" spans="1:21" s="56" customFormat="1" ht="19.5" customHeight="1">
      <c r="A41" s="57"/>
      <c r="B41" s="58" t="s">
        <v>302</v>
      </c>
      <c r="C41" s="59">
        <v>46265</v>
      </c>
      <c r="D41" s="60"/>
      <c r="E41" s="61"/>
      <c r="F41" s="62" t="s">
        <v>60</v>
      </c>
      <c r="G41" s="58">
        <v>216</v>
      </c>
      <c r="H41" s="59">
        <v>46270</v>
      </c>
      <c r="I41" s="58" t="s">
        <v>250</v>
      </c>
      <c r="J41" s="63" t="s">
        <v>251</v>
      </c>
      <c r="K41" s="63" t="s">
        <v>61</v>
      </c>
      <c r="L41" s="63" t="s">
        <v>74</v>
      </c>
      <c r="M41" s="68" t="s">
        <v>62</v>
      </c>
      <c r="N41" s="19" t="s">
        <v>319</v>
      </c>
      <c r="O41" s="185">
        <f>+P41/15000</f>
        <v>18</v>
      </c>
      <c r="P41" s="19">
        <v>270000</v>
      </c>
      <c r="Q41" s="19">
        <v>178</v>
      </c>
      <c r="R41" s="64">
        <f t="shared" si="3"/>
        <v>48060</v>
      </c>
      <c r="S41" s="64">
        <f t="shared" si="4"/>
        <v>8650.7999999999993</v>
      </c>
      <c r="T41" s="64">
        <f t="shared" si="5"/>
        <v>56710.8</v>
      </c>
      <c r="U41" s="66" t="s">
        <v>260</v>
      </c>
    </row>
    <row r="42" spans="1:21" s="56" customFormat="1" ht="19.5" customHeight="1">
      <c r="A42" s="57"/>
      <c r="B42" s="58" t="s">
        <v>302</v>
      </c>
      <c r="C42" s="59">
        <v>46265</v>
      </c>
      <c r="D42" s="60"/>
      <c r="E42" s="61"/>
      <c r="F42" s="62" t="s">
        <v>60</v>
      </c>
      <c r="G42" s="58">
        <v>216</v>
      </c>
      <c r="H42" s="59">
        <v>46270</v>
      </c>
      <c r="I42" s="58" t="s">
        <v>306</v>
      </c>
      <c r="J42" s="63" t="s">
        <v>307</v>
      </c>
      <c r="K42" s="63" t="s">
        <v>61</v>
      </c>
      <c r="L42" s="63" t="s">
        <v>164</v>
      </c>
      <c r="M42" s="68" t="s">
        <v>62</v>
      </c>
      <c r="N42" s="19" t="s">
        <v>320</v>
      </c>
      <c r="O42" s="185">
        <f>+P42/1050</f>
        <v>56</v>
      </c>
      <c r="P42" s="19">
        <v>58800</v>
      </c>
      <c r="Q42" s="19">
        <v>1660</v>
      </c>
      <c r="R42" s="64">
        <f t="shared" si="3"/>
        <v>97608</v>
      </c>
      <c r="S42" s="64">
        <f t="shared" si="4"/>
        <v>17569.439999999999</v>
      </c>
      <c r="T42" s="64">
        <f t="shared" si="5"/>
        <v>115177.44</v>
      </c>
      <c r="U42" s="66" t="s">
        <v>260</v>
      </c>
    </row>
    <row r="43" spans="1:21" s="56" customFormat="1" ht="19.5" customHeight="1">
      <c r="A43" s="57"/>
      <c r="B43" s="58" t="s">
        <v>308</v>
      </c>
      <c r="C43" s="59">
        <v>46265</v>
      </c>
      <c r="D43" s="60"/>
      <c r="E43" s="61"/>
      <c r="F43" s="62" t="s">
        <v>60</v>
      </c>
      <c r="G43" s="58">
        <v>217</v>
      </c>
      <c r="H43" s="59">
        <v>46270</v>
      </c>
      <c r="I43" s="58" t="s">
        <v>309</v>
      </c>
      <c r="J43" s="63" t="s">
        <v>310</v>
      </c>
      <c r="K43" s="63" t="s">
        <v>61</v>
      </c>
      <c r="L43" s="63" t="s">
        <v>95</v>
      </c>
      <c r="M43" s="68" t="s">
        <v>62</v>
      </c>
      <c r="N43" s="19" t="s">
        <v>321</v>
      </c>
      <c r="O43" s="185">
        <f>+P43/4200</f>
        <v>14</v>
      </c>
      <c r="P43" s="19">
        <v>58800</v>
      </c>
      <c r="Q43" s="19">
        <v>431</v>
      </c>
      <c r="R43" s="64">
        <f t="shared" si="3"/>
        <v>25342.799999999999</v>
      </c>
      <c r="S43" s="64">
        <f t="shared" si="4"/>
        <v>4561.7039999999997</v>
      </c>
      <c r="T43" s="64">
        <f t="shared" si="5"/>
        <v>29904.504000000001</v>
      </c>
      <c r="U43" s="66" t="s">
        <v>260</v>
      </c>
    </row>
    <row r="44" spans="1:21" s="56" customFormat="1" ht="19.5" customHeight="1">
      <c r="A44" s="57"/>
      <c r="B44" s="58" t="s">
        <v>308</v>
      </c>
      <c r="C44" s="59">
        <v>46265</v>
      </c>
      <c r="D44" s="60"/>
      <c r="E44" s="61"/>
      <c r="F44" s="62" t="s">
        <v>60</v>
      </c>
      <c r="G44" s="58">
        <v>217</v>
      </c>
      <c r="H44" s="59">
        <v>46270</v>
      </c>
      <c r="I44" s="58" t="s">
        <v>311</v>
      </c>
      <c r="J44" s="63" t="s">
        <v>312</v>
      </c>
      <c r="K44" s="63" t="s">
        <v>61</v>
      </c>
      <c r="L44" s="63" t="s">
        <v>215</v>
      </c>
      <c r="M44" s="68" t="s">
        <v>62</v>
      </c>
      <c r="N44" s="19" t="s">
        <v>322</v>
      </c>
      <c r="O44" s="185">
        <f>+P44/4200</f>
        <v>30</v>
      </c>
      <c r="P44" s="19">
        <v>126000</v>
      </c>
      <c r="Q44" s="19">
        <v>431</v>
      </c>
      <c r="R44" s="64">
        <f t="shared" si="3"/>
        <v>54306</v>
      </c>
      <c r="S44" s="64">
        <f t="shared" si="4"/>
        <v>9775.08</v>
      </c>
      <c r="T44" s="64">
        <f t="shared" si="5"/>
        <v>64081.08</v>
      </c>
      <c r="U44" s="66" t="s">
        <v>260</v>
      </c>
    </row>
    <row r="45" spans="1:21" s="56" customFormat="1" ht="19.5" customHeight="1">
      <c r="A45" s="57"/>
      <c r="B45" s="58"/>
      <c r="C45" s="59"/>
      <c r="D45" s="60"/>
      <c r="E45" s="61"/>
      <c r="F45" s="62"/>
      <c r="G45" s="58"/>
      <c r="H45" s="59"/>
      <c r="I45" s="58"/>
      <c r="J45" s="63"/>
      <c r="K45" s="63"/>
      <c r="L45" s="63"/>
      <c r="M45" s="68"/>
      <c r="N45" s="19"/>
      <c r="O45" s="65"/>
      <c r="P45" s="19"/>
      <c r="Q45" s="19"/>
      <c r="R45" s="64"/>
      <c r="S45" s="64"/>
      <c r="T45" s="64"/>
      <c r="U45" s="66"/>
    </row>
    <row r="46" spans="1:21" ht="19.5" customHeight="1">
      <c r="B46" s="54" t="s">
        <v>5</v>
      </c>
      <c r="C46" s="55"/>
      <c r="D46" s="55"/>
      <c r="E46" s="55"/>
      <c r="F46" s="55"/>
      <c r="G46" s="55"/>
      <c r="H46" s="55"/>
      <c r="I46" s="55"/>
      <c r="J46" s="21" t="s">
        <v>6</v>
      </c>
      <c r="K46" s="21"/>
      <c r="L46" s="21"/>
      <c r="M46" s="21"/>
      <c r="N46" s="21"/>
      <c r="O46" s="14">
        <f>SUM(O11:O45)</f>
        <v>1239</v>
      </c>
      <c r="P46" s="14">
        <f>SUM(P11:P45)</f>
        <v>5800550</v>
      </c>
      <c r="Q46" s="14"/>
      <c r="R46" s="14">
        <f>SUM(R11:R45)</f>
        <v>2370877.5</v>
      </c>
      <c r="S46" s="14">
        <f>SUM(S11:S45)</f>
        <v>426757.94999999995</v>
      </c>
      <c r="T46" s="14">
        <f>SUM(T11:T45)</f>
        <v>2797635.4499999997</v>
      </c>
      <c r="U46" s="15"/>
    </row>
    <row r="47" spans="1:21" ht="19.5" customHeight="1">
      <c r="B47" s="16"/>
      <c r="C47" s="22"/>
      <c r="D47" s="23"/>
      <c r="E47" s="22"/>
      <c r="F47" s="24"/>
      <c r="G47" s="16"/>
      <c r="H47" s="22"/>
      <c r="I47" s="16"/>
      <c r="J47" s="25"/>
      <c r="K47" s="25"/>
      <c r="L47" s="25"/>
      <c r="M47" s="25"/>
      <c r="N47" s="20"/>
      <c r="O47" s="26"/>
      <c r="P47" s="27"/>
      <c r="Q47" s="28"/>
      <c r="R47" s="20"/>
      <c r="S47" s="20"/>
      <c r="T47" s="20"/>
      <c r="U47" s="29"/>
    </row>
    <row r="48" spans="1:21" ht="19.5" customHeight="1">
      <c r="B48" s="16"/>
      <c r="C48" s="22"/>
      <c r="D48" s="23"/>
      <c r="E48" s="22"/>
      <c r="F48" s="24"/>
      <c r="G48" s="16"/>
      <c r="H48" s="22"/>
      <c r="I48" s="16"/>
      <c r="J48" s="25"/>
      <c r="K48" s="25"/>
      <c r="L48" s="25"/>
      <c r="M48" s="25"/>
      <c r="N48" s="20"/>
      <c r="O48" s="26"/>
      <c r="P48" s="27"/>
      <c r="Q48" s="28"/>
      <c r="R48" s="20"/>
      <c r="S48" s="20"/>
      <c r="T48" s="20"/>
      <c r="U48" s="29"/>
    </row>
    <row r="49" spans="2:21" ht="19.5" customHeight="1">
      <c r="B49" s="16"/>
      <c r="C49" s="22" t="s">
        <v>6</v>
      </c>
      <c r="D49" s="23"/>
      <c r="E49" s="22"/>
      <c r="F49" s="24"/>
      <c r="G49" s="16"/>
      <c r="H49" s="22"/>
      <c r="I49" s="16"/>
      <c r="J49" s="25"/>
      <c r="K49" s="25"/>
      <c r="L49" s="25"/>
      <c r="M49" s="25"/>
      <c r="N49" s="20"/>
      <c r="O49" s="26"/>
      <c r="P49" s="27"/>
      <c r="Q49" s="28"/>
      <c r="R49" s="20"/>
      <c r="S49" s="20"/>
      <c r="T49" s="20"/>
      <c r="U49" s="29"/>
    </row>
    <row r="50" spans="2:21" ht="19.5" customHeight="1">
      <c r="B50" s="16"/>
      <c r="C50" s="22"/>
      <c r="D50" s="23"/>
      <c r="E50" s="22"/>
      <c r="F50" s="24"/>
      <c r="G50" s="16"/>
      <c r="H50" s="22"/>
      <c r="I50" s="16"/>
      <c r="J50" s="25"/>
      <c r="K50" s="25"/>
      <c r="L50" s="25"/>
      <c r="M50" s="25"/>
      <c r="N50" s="20"/>
      <c r="O50" s="26"/>
      <c r="P50" s="27"/>
      <c r="Q50" s="28"/>
      <c r="R50" s="20"/>
      <c r="S50" s="20"/>
      <c r="T50" s="20"/>
      <c r="U50" s="29"/>
    </row>
    <row r="51" spans="2:21" ht="19.5" customHeight="1">
      <c r="B51" s="16"/>
      <c r="C51" s="22"/>
      <c r="D51" s="23"/>
      <c r="E51" s="22"/>
      <c r="F51" s="24"/>
      <c r="G51" s="16"/>
      <c r="H51" s="22"/>
      <c r="I51" s="16"/>
      <c r="J51" s="25"/>
      <c r="K51" s="25"/>
      <c r="L51" s="25" t="s">
        <v>6</v>
      </c>
      <c r="M51" s="25"/>
      <c r="N51" s="20"/>
      <c r="O51" s="26"/>
      <c r="P51" s="27"/>
      <c r="Q51" s="28"/>
      <c r="R51" s="20"/>
      <c r="S51" s="20"/>
      <c r="T51" s="20"/>
      <c r="U51" s="29"/>
    </row>
    <row r="52" spans="2:21" ht="19.5" customHeight="1">
      <c r="B52" s="16"/>
      <c r="C52" s="22"/>
      <c r="D52" s="23"/>
      <c r="E52" s="22"/>
      <c r="F52" s="24"/>
      <c r="G52" s="16"/>
      <c r="H52" s="22"/>
      <c r="I52" s="16"/>
      <c r="J52" s="25"/>
      <c r="K52" s="25"/>
      <c r="L52" s="25"/>
      <c r="M52" s="25"/>
      <c r="N52" s="20"/>
      <c r="O52" s="26"/>
      <c r="P52" s="27"/>
      <c r="Q52" s="28"/>
      <c r="R52" s="20"/>
      <c r="S52" s="20"/>
      <c r="T52" s="20"/>
      <c r="U52" s="29"/>
    </row>
    <row r="53" spans="2:21" ht="19.5" customHeight="1">
      <c r="B53" s="16"/>
      <c r="C53" s="22"/>
      <c r="D53" s="23"/>
      <c r="E53" s="22"/>
      <c r="F53" s="24"/>
      <c r="G53" s="16"/>
      <c r="H53" s="22"/>
      <c r="I53" s="16"/>
      <c r="J53" s="25"/>
      <c r="K53" s="25"/>
      <c r="L53" s="25"/>
      <c r="M53" s="25"/>
      <c r="N53" s="20"/>
      <c r="O53" s="26"/>
      <c r="P53" s="27"/>
      <c r="Q53" s="28"/>
      <c r="R53" s="20"/>
      <c r="S53" s="20"/>
      <c r="T53" s="20"/>
      <c r="U53" s="29"/>
    </row>
    <row r="54" spans="2:21" ht="19.5" customHeight="1">
      <c r="B54" s="16"/>
      <c r="C54" s="22"/>
      <c r="D54" s="23"/>
      <c r="E54" s="22"/>
      <c r="F54" s="24"/>
      <c r="G54" s="16"/>
      <c r="H54" s="22"/>
      <c r="I54" s="16"/>
      <c r="J54" s="25"/>
      <c r="K54" s="25"/>
      <c r="L54" s="25"/>
      <c r="M54" s="25"/>
      <c r="N54" s="20"/>
      <c r="O54" s="26"/>
      <c r="P54" s="27"/>
      <c r="Q54" s="28"/>
      <c r="R54" s="20"/>
      <c r="S54" s="20"/>
      <c r="T54" s="20"/>
      <c r="U54" s="29"/>
    </row>
    <row r="55" spans="2:21" ht="19.5" customHeight="1">
      <c r="B55" s="16"/>
      <c r="C55" s="22"/>
      <c r="D55" s="23"/>
      <c r="E55" s="22"/>
      <c r="F55" s="24"/>
      <c r="G55" s="16"/>
      <c r="H55" s="22"/>
      <c r="I55" s="16"/>
      <c r="J55" s="25"/>
      <c r="K55" s="25"/>
      <c r="L55" s="25"/>
      <c r="M55" s="25"/>
      <c r="N55" s="20"/>
      <c r="O55" s="26"/>
      <c r="P55" s="27"/>
      <c r="Q55" s="28"/>
      <c r="R55" s="20"/>
      <c r="S55" s="20"/>
      <c r="T55" s="20"/>
      <c r="U55" s="29"/>
    </row>
    <row r="56" spans="2:21" ht="19.5" customHeight="1">
      <c r="B56" s="16"/>
      <c r="C56" s="22"/>
      <c r="D56" s="23"/>
      <c r="E56" s="22"/>
      <c r="F56" s="24"/>
      <c r="G56" s="16"/>
      <c r="H56" s="22"/>
      <c r="I56" s="16"/>
      <c r="J56" s="25"/>
      <c r="K56" s="25"/>
      <c r="L56" s="25"/>
      <c r="M56" s="25"/>
      <c r="N56" s="20"/>
      <c r="O56" s="26"/>
      <c r="P56" s="27"/>
      <c r="Q56" s="28"/>
      <c r="R56" s="20"/>
      <c r="S56" s="20"/>
      <c r="T56" s="20"/>
      <c r="U56" s="29"/>
    </row>
    <row r="57" spans="2:21" ht="19.5" customHeight="1">
      <c r="B57" s="16"/>
      <c r="C57" s="22"/>
      <c r="D57" s="23"/>
      <c r="E57" s="22"/>
      <c r="F57" s="24"/>
      <c r="G57" s="16"/>
      <c r="H57" s="22"/>
      <c r="I57" s="16"/>
      <c r="J57" s="25"/>
      <c r="K57" s="25"/>
      <c r="L57" s="25"/>
      <c r="M57" s="25"/>
      <c r="N57" s="20"/>
      <c r="O57" s="26"/>
      <c r="P57" s="27"/>
      <c r="Q57" s="28"/>
      <c r="R57" s="20"/>
      <c r="S57" s="20"/>
      <c r="T57" s="20"/>
      <c r="U57" s="29"/>
    </row>
    <row r="58" spans="2:21" ht="19.5" customHeight="1">
      <c r="B58" s="16"/>
      <c r="C58" s="22"/>
      <c r="D58" s="23"/>
      <c r="E58" s="22"/>
      <c r="F58" s="24"/>
      <c r="G58" s="16"/>
      <c r="H58" s="22"/>
      <c r="I58" s="16"/>
      <c r="J58" s="25"/>
      <c r="K58" s="25"/>
      <c r="L58" s="25"/>
      <c r="M58" s="25"/>
      <c r="N58" s="20"/>
      <c r="O58" s="26"/>
      <c r="P58" s="27"/>
      <c r="Q58" s="28"/>
      <c r="R58" s="20"/>
      <c r="S58" s="20"/>
      <c r="T58" s="20"/>
      <c r="U58" s="29"/>
    </row>
  </sheetData>
  <autoFilter ref="B10:U46">
    <filterColumn colId="4"/>
    <filterColumn colId="6"/>
    <filterColumn colId="8"/>
    <filterColumn colId="13"/>
  </autoFilter>
  <mergeCells count="2">
    <mergeCell ref="B2:U2"/>
    <mergeCell ref="B3:E3"/>
  </mergeCells>
  <pageMargins left="0.70866141732283472" right="0.70866141732283472" top="0.74803149606299213" bottom="0.74803149606299213" header="0.31496062992125984" footer="0.31496062992125984"/>
  <pageSetup paperSize="9" scale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K52"/>
  <sheetViews>
    <sheetView tabSelected="1" topLeftCell="C19" zoomScale="90" zoomScaleNormal="90" workbookViewId="0">
      <selection activeCell="E50" sqref="E50"/>
    </sheetView>
  </sheetViews>
  <sheetFormatPr defaultColWidth="1.42578125" defaultRowHeight="18" customHeight="1"/>
  <cols>
    <col min="1" max="1" width="14.7109375" style="69" customWidth="1"/>
    <col min="2" max="2" width="12.42578125" style="111" bestFit="1" customWidth="1"/>
    <col min="3" max="3" width="15.7109375" style="112" bestFit="1" customWidth="1"/>
    <col min="4" max="4" width="12.42578125" style="111" bestFit="1" customWidth="1"/>
    <col min="5" max="5" width="16.85546875" style="69" customWidth="1"/>
    <col min="6" max="6" width="15.5703125" style="69" bestFit="1" customWidth="1"/>
    <col min="7" max="7" width="24.5703125" style="69" bestFit="1" customWidth="1"/>
    <col min="8" max="8" width="46.5703125" style="72" bestFit="1" customWidth="1"/>
    <col min="9" max="11" width="7.140625" style="73" bestFit="1" customWidth="1"/>
    <col min="12" max="12" width="12.28515625" style="73" bestFit="1" customWidth="1"/>
    <col min="13" max="13" width="13.140625" style="69" bestFit="1" customWidth="1"/>
    <col min="14" max="14" width="14.140625" style="69" customWidth="1"/>
    <col min="15" max="15" width="7.140625" style="80" bestFit="1" customWidth="1"/>
    <col min="16" max="16" width="19.140625" style="69" bestFit="1" customWidth="1"/>
    <col min="17" max="18" width="18.42578125" style="69" bestFit="1" customWidth="1"/>
    <col min="19" max="19" width="20.28515625" style="69" bestFit="1" customWidth="1"/>
    <col min="20" max="20" width="14.7109375" style="69" bestFit="1" customWidth="1"/>
    <col min="21" max="36" width="1.42578125" style="69"/>
    <col min="37" max="37" width="1.42578125" style="70"/>
    <col min="38" max="16384" width="1.42578125" style="69"/>
  </cols>
  <sheetData>
    <row r="2" spans="1:37" ht="30" customHeight="1">
      <c r="A2" s="188" t="s">
        <v>68</v>
      </c>
      <c r="B2" s="189"/>
      <c r="C2" s="189"/>
      <c r="D2" s="189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1"/>
    </row>
    <row r="3" spans="1:37" ht="18" customHeight="1">
      <c r="A3" s="192" t="s">
        <v>10</v>
      </c>
      <c r="B3" s="192"/>
      <c r="C3" s="192"/>
      <c r="D3" s="192"/>
      <c r="E3" s="71"/>
      <c r="M3" s="74"/>
      <c r="N3" s="75"/>
      <c r="O3" s="76"/>
      <c r="P3" s="75"/>
      <c r="S3" s="72"/>
    </row>
    <row r="4" spans="1:37" ht="18" customHeight="1">
      <c r="A4" s="6" t="s">
        <v>55</v>
      </c>
      <c r="B4" s="115"/>
      <c r="C4" s="116"/>
      <c r="D4" s="77"/>
      <c r="E4" s="71" t="s">
        <v>53</v>
      </c>
      <c r="F4" s="71"/>
      <c r="G4" s="71"/>
      <c r="N4" s="78"/>
      <c r="O4" s="79"/>
      <c r="P4" s="78"/>
      <c r="Q4" s="78"/>
      <c r="S4" s="72"/>
    </row>
    <row r="5" spans="1:37" ht="18" customHeight="1">
      <c r="A5" s="6" t="s">
        <v>56</v>
      </c>
      <c r="B5" s="115"/>
      <c r="C5" s="116"/>
      <c r="D5" s="77"/>
      <c r="E5" s="71" t="s">
        <v>54</v>
      </c>
      <c r="F5" s="71"/>
      <c r="G5" s="71"/>
      <c r="S5" s="72"/>
    </row>
    <row r="6" spans="1:37" ht="18" customHeight="1">
      <c r="A6" s="6" t="s">
        <v>57</v>
      </c>
      <c r="B6" s="117"/>
      <c r="C6" s="116"/>
      <c r="D6" s="77"/>
      <c r="E6" s="71"/>
      <c r="F6" s="81"/>
      <c r="G6" s="81"/>
      <c r="H6" s="81"/>
      <c r="M6" s="73"/>
      <c r="N6" s="81"/>
      <c r="O6" s="82"/>
      <c r="P6" s="81"/>
      <c r="Q6" s="81"/>
      <c r="S6" s="72"/>
    </row>
    <row r="7" spans="1:37" ht="18" customHeight="1">
      <c r="A7" s="118" t="s">
        <v>58</v>
      </c>
      <c r="B7" s="116"/>
      <c r="C7" s="116"/>
      <c r="D7" s="77"/>
      <c r="E7" s="71"/>
      <c r="F7" s="81"/>
      <c r="G7" s="81"/>
      <c r="H7" s="81"/>
      <c r="M7" s="73"/>
      <c r="N7" s="81"/>
      <c r="O7" s="82"/>
      <c r="P7" s="81"/>
      <c r="Q7" s="81"/>
      <c r="S7" s="72"/>
    </row>
    <row r="8" spans="1:37" ht="18" customHeight="1">
      <c r="A8" s="118" t="s">
        <v>59</v>
      </c>
      <c r="B8" s="116"/>
      <c r="C8" s="116"/>
      <c r="D8" s="77"/>
      <c r="E8" s="71"/>
      <c r="F8" s="71"/>
      <c r="G8" s="71"/>
    </row>
    <row r="9" spans="1:37" s="87" customFormat="1" ht="31.5" customHeight="1">
      <c r="A9" s="83" t="s">
        <v>26</v>
      </c>
      <c r="B9" s="84" t="s">
        <v>27</v>
      </c>
      <c r="C9" s="85" t="s">
        <v>28</v>
      </c>
      <c r="D9" s="84" t="s">
        <v>29</v>
      </c>
      <c r="E9" s="83" t="s">
        <v>17</v>
      </c>
      <c r="F9" s="83" t="s">
        <v>30</v>
      </c>
      <c r="G9" s="83" t="s">
        <v>2</v>
      </c>
      <c r="H9" s="83" t="s">
        <v>18</v>
      </c>
      <c r="I9" s="83" t="s">
        <v>8</v>
      </c>
      <c r="J9" s="83" t="s">
        <v>9</v>
      </c>
      <c r="K9" s="83" t="s">
        <v>0</v>
      </c>
      <c r="L9" s="83" t="s">
        <v>3</v>
      </c>
      <c r="M9" s="83" t="s">
        <v>31</v>
      </c>
      <c r="N9" s="83" t="s">
        <v>32</v>
      </c>
      <c r="O9" s="86" t="s">
        <v>4</v>
      </c>
      <c r="P9" s="83" t="s">
        <v>33</v>
      </c>
      <c r="Q9" s="83" t="s">
        <v>35</v>
      </c>
      <c r="R9" s="83" t="s">
        <v>36</v>
      </c>
      <c r="S9" s="83" t="s">
        <v>34</v>
      </c>
      <c r="AK9" s="88"/>
    </row>
    <row r="10" spans="1:37" s="96" customFormat="1" ht="18.75" customHeight="1">
      <c r="A10" s="89" t="s">
        <v>269</v>
      </c>
      <c r="B10" s="90">
        <v>46267</v>
      </c>
      <c r="C10" s="90" t="s">
        <v>262</v>
      </c>
      <c r="D10" s="90">
        <v>46267</v>
      </c>
      <c r="E10" s="90" t="s">
        <v>54</v>
      </c>
      <c r="F10" s="91" t="s">
        <v>258</v>
      </c>
      <c r="G10" s="91" t="s">
        <v>244</v>
      </c>
      <c r="H10" s="92" t="s">
        <v>245</v>
      </c>
      <c r="I10" s="91" t="s">
        <v>61</v>
      </c>
      <c r="J10" s="91" t="s">
        <v>77</v>
      </c>
      <c r="K10" s="91" t="s">
        <v>62</v>
      </c>
      <c r="L10" s="91" t="s">
        <v>259</v>
      </c>
      <c r="M10" s="91">
        <v>9</v>
      </c>
      <c r="N10" s="91">
        <v>135000</v>
      </c>
      <c r="O10" s="93">
        <v>178</v>
      </c>
      <c r="P10" s="93">
        <f t="shared" ref="P10:P14" si="0">+N10*O10/1000</f>
        <v>24030</v>
      </c>
      <c r="Q10" s="93">
        <f t="shared" ref="Q10:Q14" si="1">+P10*9%</f>
        <v>2162.6999999999998</v>
      </c>
      <c r="R10" s="93">
        <f t="shared" ref="R10:R14" si="2">+P10*9%</f>
        <v>2162.6999999999998</v>
      </c>
      <c r="S10" s="93">
        <f t="shared" ref="S10:S14" si="3">+P10+Q10+R10</f>
        <v>28355.4</v>
      </c>
      <c r="T10" s="94"/>
      <c r="U10" s="95"/>
      <c r="AK10" s="97"/>
    </row>
    <row r="11" spans="1:37" s="96" customFormat="1" ht="18.75" customHeight="1">
      <c r="A11" s="89" t="s">
        <v>270</v>
      </c>
      <c r="B11" s="90">
        <v>46267</v>
      </c>
      <c r="C11" s="90" t="s">
        <v>263</v>
      </c>
      <c r="D11" s="90">
        <v>46267</v>
      </c>
      <c r="E11" s="90" t="s">
        <v>54</v>
      </c>
      <c r="F11" s="91" t="s">
        <v>252</v>
      </c>
      <c r="G11" s="91" t="s">
        <v>250</v>
      </c>
      <c r="H11" s="92" t="s">
        <v>251</v>
      </c>
      <c r="I11" s="91" t="s">
        <v>61</v>
      </c>
      <c r="J11" s="91" t="s">
        <v>74</v>
      </c>
      <c r="K11" s="91" t="s">
        <v>62</v>
      </c>
      <c r="L11" s="91" t="s">
        <v>257</v>
      </c>
      <c r="M11" s="91">
        <v>15</v>
      </c>
      <c r="N11" s="91">
        <v>225000</v>
      </c>
      <c r="O11" s="93">
        <v>178</v>
      </c>
      <c r="P11" s="93">
        <f t="shared" si="0"/>
        <v>40050</v>
      </c>
      <c r="Q11" s="93">
        <f t="shared" si="1"/>
        <v>3604.5</v>
      </c>
      <c r="R11" s="93">
        <f t="shared" si="2"/>
        <v>3604.5</v>
      </c>
      <c r="S11" s="93">
        <f t="shared" si="3"/>
        <v>47259</v>
      </c>
      <c r="T11" s="94"/>
      <c r="U11" s="95"/>
      <c r="AK11" s="97"/>
    </row>
    <row r="12" spans="1:37" s="96" customFormat="1" ht="18.75" customHeight="1">
      <c r="A12" s="89" t="s">
        <v>271</v>
      </c>
      <c r="B12" s="90">
        <v>46267</v>
      </c>
      <c r="C12" s="90" t="s">
        <v>264</v>
      </c>
      <c r="D12" s="90">
        <v>46267</v>
      </c>
      <c r="E12" s="90" t="s">
        <v>53</v>
      </c>
      <c r="F12" s="91" t="s">
        <v>252</v>
      </c>
      <c r="G12" s="91" t="s">
        <v>250</v>
      </c>
      <c r="H12" s="92" t="s">
        <v>251</v>
      </c>
      <c r="I12" s="91" t="s">
        <v>61</v>
      </c>
      <c r="J12" s="91" t="s">
        <v>74</v>
      </c>
      <c r="K12" s="91" t="s">
        <v>62</v>
      </c>
      <c r="L12" s="91" t="s">
        <v>257</v>
      </c>
      <c r="M12" s="91">
        <v>16</v>
      </c>
      <c r="N12" s="91">
        <v>240000</v>
      </c>
      <c r="O12" s="93">
        <v>178</v>
      </c>
      <c r="P12" s="93">
        <f t="shared" si="0"/>
        <v>42720</v>
      </c>
      <c r="Q12" s="93">
        <f t="shared" si="1"/>
        <v>3844.7999999999997</v>
      </c>
      <c r="R12" s="93">
        <f t="shared" si="2"/>
        <v>3844.7999999999997</v>
      </c>
      <c r="S12" s="93">
        <f t="shared" si="3"/>
        <v>50409.600000000006</v>
      </c>
      <c r="T12" s="94"/>
      <c r="U12" s="95"/>
      <c r="AK12" s="97"/>
    </row>
    <row r="13" spans="1:37" s="96" customFormat="1" ht="18.75" customHeight="1">
      <c r="A13" s="89" t="s">
        <v>271</v>
      </c>
      <c r="B13" s="90">
        <v>46267</v>
      </c>
      <c r="C13" s="90" t="s">
        <v>265</v>
      </c>
      <c r="D13" s="90">
        <v>46267</v>
      </c>
      <c r="E13" s="90" t="s">
        <v>53</v>
      </c>
      <c r="F13" s="91" t="s">
        <v>252</v>
      </c>
      <c r="G13" s="91" t="s">
        <v>242</v>
      </c>
      <c r="H13" s="92" t="s">
        <v>243</v>
      </c>
      <c r="I13" s="91" t="s">
        <v>61</v>
      </c>
      <c r="J13" s="91" t="s">
        <v>65</v>
      </c>
      <c r="K13" s="91" t="s">
        <v>62</v>
      </c>
      <c r="L13" s="91" t="s">
        <v>253</v>
      </c>
      <c r="M13" s="91">
        <v>18</v>
      </c>
      <c r="N13" s="91">
        <v>270000</v>
      </c>
      <c r="O13" s="93">
        <v>178</v>
      </c>
      <c r="P13" s="93">
        <f t="shared" si="0"/>
        <v>48060</v>
      </c>
      <c r="Q13" s="93">
        <f t="shared" si="1"/>
        <v>4325.3999999999996</v>
      </c>
      <c r="R13" s="93">
        <f t="shared" si="2"/>
        <v>4325.3999999999996</v>
      </c>
      <c r="S13" s="93">
        <f t="shared" si="3"/>
        <v>56710.8</v>
      </c>
      <c r="T13" s="94"/>
      <c r="U13" s="95"/>
      <c r="AK13" s="97"/>
    </row>
    <row r="14" spans="1:37" s="96" customFormat="1" ht="18.75" customHeight="1">
      <c r="A14" s="89" t="s">
        <v>271</v>
      </c>
      <c r="B14" s="90">
        <v>46267</v>
      </c>
      <c r="C14" s="90" t="s">
        <v>266</v>
      </c>
      <c r="D14" s="90">
        <v>46267</v>
      </c>
      <c r="E14" s="90" t="s">
        <v>53</v>
      </c>
      <c r="F14" s="91" t="s">
        <v>252</v>
      </c>
      <c r="G14" s="91" t="s">
        <v>244</v>
      </c>
      <c r="H14" s="92" t="s">
        <v>245</v>
      </c>
      <c r="I14" s="91" t="s">
        <v>61</v>
      </c>
      <c r="J14" s="91" t="s">
        <v>77</v>
      </c>
      <c r="K14" s="91" t="s">
        <v>62</v>
      </c>
      <c r="L14" s="91" t="s">
        <v>254</v>
      </c>
      <c r="M14" s="91">
        <v>18</v>
      </c>
      <c r="N14" s="91">
        <v>270000</v>
      </c>
      <c r="O14" s="93">
        <v>178</v>
      </c>
      <c r="P14" s="93">
        <f t="shared" si="0"/>
        <v>48060</v>
      </c>
      <c r="Q14" s="93">
        <f t="shared" si="1"/>
        <v>4325.3999999999996</v>
      </c>
      <c r="R14" s="93">
        <f t="shared" si="2"/>
        <v>4325.3999999999996</v>
      </c>
      <c r="S14" s="93">
        <f t="shared" si="3"/>
        <v>56710.8</v>
      </c>
      <c r="T14" s="94"/>
      <c r="U14" s="95"/>
      <c r="AK14" s="97"/>
    </row>
    <row r="15" spans="1:37" s="96" customFormat="1" ht="18.75" customHeight="1">
      <c r="A15" s="89" t="s">
        <v>272</v>
      </c>
      <c r="B15" s="90">
        <v>46267</v>
      </c>
      <c r="C15" s="90" t="s">
        <v>267</v>
      </c>
      <c r="D15" s="90">
        <v>46267</v>
      </c>
      <c r="E15" s="90" t="s">
        <v>53</v>
      </c>
      <c r="F15" s="91" t="s">
        <v>252</v>
      </c>
      <c r="G15" s="91" t="s">
        <v>246</v>
      </c>
      <c r="H15" s="92" t="s">
        <v>247</v>
      </c>
      <c r="I15" s="91" t="s">
        <v>61</v>
      </c>
      <c r="J15" s="91" t="s">
        <v>164</v>
      </c>
      <c r="K15" s="91" t="s">
        <v>62</v>
      </c>
      <c r="L15" s="91" t="s">
        <v>255</v>
      </c>
      <c r="M15" s="91">
        <v>28</v>
      </c>
      <c r="N15" s="91">
        <v>182000</v>
      </c>
      <c r="O15" s="93">
        <v>295</v>
      </c>
      <c r="P15" s="93">
        <f t="shared" ref="P15" si="4">+N15*O15/1000</f>
        <v>53690</v>
      </c>
      <c r="Q15" s="93">
        <f t="shared" ref="Q15" si="5">+P15*9%</f>
        <v>4832.0999999999995</v>
      </c>
      <c r="R15" s="93">
        <f t="shared" ref="R15" si="6">+P15*9%</f>
        <v>4832.0999999999995</v>
      </c>
      <c r="S15" s="93">
        <f t="shared" ref="S15" si="7">+P15+Q15+R15</f>
        <v>63354.2</v>
      </c>
      <c r="T15" s="94"/>
      <c r="U15" s="95"/>
      <c r="AK15" s="97"/>
    </row>
    <row r="16" spans="1:37" s="96" customFormat="1" ht="18.75" customHeight="1">
      <c r="A16" s="89" t="s">
        <v>273</v>
      </c>
      <c r="B16" s="90">
        <v>46267</v>
      </c>
      <c r="C16" s="90" t="s">
        <v>268</v>
      </c>
      <c r="D16" s="90">
        <v>46267</v>
      </c>
      <c r="E16" s="90" t="s">
        <v>53</v>
      </c>
      <c r="F16" s="91" t="s">
        <v>252</v>
      </c>
      <c r="G16" s="91" t="s">
        <v>248</v>
      </c>
      <c r="H16" s="92" t="s">
        <v>249</v>
      </c>
      <c r="I16" s="91" t="s">
        <v>61</v>
      </c>
      <c r="J16" s="91" t="s">
        <v>77</v>
      </c>
      <c r="K16" s="91" t="s">
        <v>62</v>
      </c>
      <c r="L16" s="91" t="s">
        <v>256</v>
      </c>
      <c r="M16" s="91">
        <v>67</v>
      </c>
      <c r="N16" s="91">
        <v>147400</v>
      </c>
      <c r="O16" s="93">
        <v>764</v>
      </c>
      <c r="P16" s="93">
        <f t="shared" ref="P16" si="8">+N16*O16/1000</f>
        <v>112613.6</v>
      </c>
      <c r="Q16" s="93">
        <f t="shared" ref="Q16" si="9">+P16*9%</f>
        <v>10135.224</v>
      </c>
      <c r="R16" s="93">
        <f t="shared" ref="R16" si="10">+P16*9%</f>
        <v>10135.224</v>
      </c>
      <c r="S16" s="93">
        <f t="shared" ref="S16" si="11">+P16+Q16+R16</f>
        <v>132884.04800000001</v>
      </c>
      <c r="T16" s="94"/>
      <c r="U16" s="95"/>
      <c r="AK16" s="97"/>
    </row>
    <row r="17" spans="1:37" s="96" customFormat="1" ht="18.75" customHeight="1">
      <c r="A17" s="89" t="s">
        <v>278</v>
      </c>
      <c r="B17" s="90">
        <v>46267</v>
      </c>
      <c r="C17" s="90" t="s">
        <v>274</v>
      </c>
      <c r="D17" s="90">
        <v>46267</v>
      </c>
      <c r="E17" s="90" t="s">
        <v>54</v>
      </c>
      <c r="F17" s="91" t="s">
        <v>71</v>
      </c>
      <c r="G17" s="91" t="s">
        <v>72</v>
      </c>
      <c r="H17" s="92" t="s">
        <v>73</v>
      </c>
      <c r="I17" s="91" t="s">
        <v>61</v>
      </c>
      <c r="J17" s="91" t="s">
        <v>74</v>
      </c>
      <c r="K17" s="91" t="s">
        <v>62</v>
      </c>
      <c r="L17" s="91" t="s">
        <v>100</v>
      </c>
      <c r="M17" s="91">
        <v>32</v>
      </c>
      <c r="N17" s="91">
        <v>160000</v>
      </c>
      <c r="O17" s="93">
        <v>367</v>
      </c>
      <c r="P17" s="93">
        <f t="shared" ref="P17" si="12">+N17*O17/1000</f>
        <v>58720</v>
      </c>
      <c r="Q17" s="93">
        <f t="shared" ref="Q17" si="13">+P17*9%</f>
        <v>5284.8</v>
      </c>
      <c r="R17" s="93">
        <f t="shared" ref="R17" si="14">+P17*9%</f>
        <v>5284.8</v>
      </c>
      <c r="S17" s="93">
        <f t="shared" ref="S17" si="15">+P17+Q17+R17</f>
        <v>69289.600000000006</v>
      </c>
      <c r="T17" s="94"/>
      <c r="U17" s="95"/>
      <c r="AK17" s="97"/>
    </row>
    <row r="18" spans="1:37" s="96" customFormat="1" ht="18.75" customHeight="1">
      <c r="A18" s="89" t="s">
        <v>279</v>
      </c>
      <c r="B18" s="90">
        <v>46267</v>
      </c>
      <c r="C18" s="90" t="s">
        <v>275</v>
      </c>
      <c r="D18" s="90">
        <v>46267</v>
      </c>
      <c r="E18" s="90" t="s">
        <v>54</v>
      </c>
      <c r="F18" s="91" t="s">
        <v>71</v>
      </c>
      <c r="G18" s="91" t="s">
        <v>75</v>
      </c>
      <c r="H18" s="92" t="s">
        <v>76</v>
      </c>
      <c r="I18" s="91" t="s">
        <v>61</v>
      </c>
      <c r="J18" s="91" t="s">
        <v>77</v>
      </c>
      <c r="K18" s="91" t="s">
        <v>62</v>
      </c>
      <c r="L18" s="91" t="s">
        <v>102</v>
      </c>
      <c r="M18" s="91">
        <v>34</v>
      </c>
      <c r="N18" s="91">
        <v>170000</v>
      </c>
      <c r="O18" s="93">
        <v>367</v>
      </c>
      <c r="P18" s="93">
        <f t="shared" ref="P18" si="16">+N18*O18/1000</f>
        <v>62390</v>
      </c>
      <c r="Q18" s="93">
        <f t="shared" ref="Q18" si="17">+P18*9%</f>
        <v>5615.0999999999995</v>
      </c>
      <c r="R18" s="93">
        <f t="shared" ref="R18" si="18">+P18*9%</f>
        <v>5615.0999999999995</v>
      </c>
      <c r="S18" s="93">
        <f t="shared" ref="S18" si="19">+P18+Q18+R18</f>
        <v>73620.200000000012</v>
      </c>
      <c r="T18" s="94"/>
      <c r="U18" s="95"/>
      <c r="AK18" s="97"/>
    </row>
    <row r="19" spans="1:37" s="96" customFormat="1" ht="18.75" customHeight="1">
      <c r="A19" s="89" t="s">
        <v>280</v>
      </c>
      <c r="B19" s="90">
        <v>46267</v>
      </c>
      <c r="C19" s="90" t="s">
        <v>276</v>
      </c>
      <c r="D19" s="90">
        <v>46267</v>
      </c>
      <c r="E19" s="90" t="s">
        <v>53</v>
      </c>
      <c r="F19" s="91" t="s">
        <v>71</v>
      </c>
      <c r="G19" s="91" t="s">
        <v>72</v>
      </c>
      <c r="H19" s="92" t="s">
        <v>73</v>
      </c>
      <c r="I19" s="91" t="s">
        <v>61</v>
      </c>
      <c r="J19" s="91" t="s">
        <v>74</v>
      </c>
      <c r="K19" s="91" t="s">
        <v>62</v>
      </c>
      <c r="L19" s="91" t="s">
        <v>101</v>
      </c>
      <c r="M19" s="91">
        <v>35</v>
      </c>
      <c r="N19" s="91">
        <v>175000</v>
      </c>
      <c r="O19" s="93">
        <v>367</v>
      </c>
      <c r="P19" s="93">
        <f t="shared" ref="P19" si="20">+N19*O19/1000</f>
        <v>64225</v>
      </c>
      <c r="Q19" s="93">
        <f t="shared" ref="Q19" si="21">+P19*9%</f>
        <v>5780.25</v>
      </c>
      <c r="R19" s="93">
        <f t="shared" ref="R19" si="22">+P19*9%</f>
        <v>5780.25</v>
      </c>
      <c r="S19" s="93">
        <f t="shared" ref="S19" si="23">+P19+Q19+R19</f>
        <v>75785.5</v>
      </c>
      <c r="T19" s="94"/>
      <c r="U19" s="95"/>
      <c r="AK19" s="97"/>
    </row>
    <row r="20" spans="1:37" s="96" customFormat="1" ht="18.75" customHeight="1">
      <c r="A20" s="89" t="s">
        <v>280</v>
      </c>
      <c r="B20" s="90">
        <v>46267</v>
      </c>
      <c r="C20" s="90" t="s">
        <v>277</v>
      </c>
      <c r="D20" s="90">
        <v>46267</v>
      </c>
      <c r="E20" s="90" t="s">
        <v>53</v>
      </c>
      <c r="F20" s="91" t="s">
        <v>71</v>
      </c>
      <c r="G20" s="91" t="s">
        <v>75</v>
      </c>
      <c r="H20" s="92" t="s">
        <v>76</v>
      </c>
      <c r="I20" s="91" t="s">
        <v>61</v>
      </c>
      <c r="J20" s="91" t="s">
        <v>77</v>
      </c>
      <c r="K20" s="91" t="s">
        <v>62</v>
      </c>
      <c r="L20" s="91" t="s">
        <v>103</v>
      </c>
      <c r="M20" s="91">
        <v>29</v>
      </c>
      <c r="N20" s="91">
        <v>145000</v>
      </c>
      <c r="O20" s="93">
        <v>367</v>
      </c>
      <c r="P20" s="93">
        <f t="shared" ref="P20" si="24">+N20*O20/1000</f>
        <v>53215</v>
      </c>
      <c r="Q20" s="93">
        <f t="shared" ref="Q20" si="25">+P20*9%</f>
        <v>4789.3499999999995</v>
      </c>
      <c r="R20" s="93">
        <f t="shared" ref="R20" si="26">+P20*9%</f>
        <v>4789.3499999999995</v>
      </c>
      <c r="S20" s="93">
        <f t="shared" ref="S20" si="27">+P20+Q20+R20</f>
        <v>62793.7</v>
      </c>
      <c r="T20" s="94"/>
      <c r="U20" s="95"/>
      <c r="AK20" s="97"/>
    </row>
    <row r="21" spans="1:37" s="96" customFormat="1" ht="18.75" customHeight="1">
      <c r="A21" s="89" t="s">
        <v>280</v>
      </c>
      <c r="B21" s="90">
        <v>46267</v>
      </c>
      <c r="C21" s="90" t="s">
        <v>277</v>
      </c>
      <c r="D21" s="90">
        <v>46267</v>
      </c>
      <c r="E21" s="90" t="s">
        <v>53</v>
      </c>
      <c r="F21" s="91" t="s">
        <v>71</v>
      </c>
      <c r="G21" s="91" t="s">
        <v>75</v>
      </c>
      <c r="H21" s="92" t="s">
        <v>76</v>
      </c>
      <c r="I21" s="91" t="s">
        <v>61</v>
      </c>
      <c r="J21" s="91" t="s">
        <v>77</v>
      </c>
      <c r="K21" s="91" t="s">
        <v>62</v>
      </c>
      <c r="L21" s="91" t="s">
        <v>104</v>
      </c>
      <c r="M21" s="91">
        <v>18</v>
      </c>
      <c r="N21" s="91">
        <v>90000</v>
      </c>
      <c r="O21" s="93">
        <v>367</v>
      </c>
      <c r="P21" s="93">
        <f t="shared" ref="P21" si="28">+N21*O21/1000</f>
        <v>33030</v>
      </c>
      <c r="Q21" s="93">
        <f t="shared" ref="Q21" si="29">+P21*9%</f>
        <v>2972.7</v>
      </c>
      <c r="R21" s="93">
        <f t="shared" ref="R21" si="30">+P21*9%</f>
        <v>2972.7</v>
      </c>
      <c r="S21" s="93">
        <f t="shared" ref="S21" si="31">+P21+Q21+R21</f>
        <v>38975.399999999994</v>
      </c>
      <c r="T21" s="94"/>
      <c r="U21" s="95"/>
      <c r="AK21" s="97"/>
    </row>
    <row r="22" spans="1:37" s="96" customFormat="1" ht="18.75" customHeight="1">
      <c r="A22" s="89" t="s">
        <v>294</v>
      </c>
      <c r="B22" s="90">
        <v>46268</v>
      </c>
      <c r="C22" s="90" t="s">
        <v>290</v>
      </c>
      <c r="D22" s="90">
        <v>46268</v>
      </c>
      <c r="E22" s="90" t="s">
        <v>53</v>
      </c>
      <c r="F22" s="91" t="s">
        <v>281</v>
      </c>
      <c r="G22" s="91" t="s">
        <v>244</v>
      </c>
      <c r="H22" s="92" t="s">
        <v>245</v>
      </c>
      <c r="I22" s="91" t="s">
        <v>61</v>
      </c>
      <c r="J22" s="91" t="s">
        <v>77</v>
      </c>
      <c r="K22" s="91" t="s">
        <v>62</v>
      </c>
      <c r="L22" s="91" t="s">
        <v>287</v>
      </c>
      <c r="M22" s="91">
        <v>10</v>
      </c>
      <c r="N22" s="91">
        <v>150000</v>
      </c>
      <c r="O22" s="93">
        <v>178</v>
      </c>
      <c r="P22" s="93">
        <f t="shared" ref="P22:P27" si="32">+N22*O22/1000</f>
        <v>26700</v>
      </c>
      <c r="Q22" s="93">
        <f t="shared" ref="Q22:Q27" si="33">+P22*9%</f>
        <v>2403</v>
      </c>
      <c r="R22" s="93">
        <f t="shared" ref="R22:R27" si="34">+P22*9%</f>
        <v>2403</v>
      </c>
      <c r="S22" s="93">
        <f t="shared" ref="S22:S27" si="35">+P22+Q22+R22</f>
        <v>31506</v>
      </c>
      <c r="T22" s="94"/>
      <c r="U22" s="95"/>
      <c r="AK22" s="97"/>
    </row>
    <row r="23" spans="1:37" s="96" customFormat="1" ht="18.75" customHeight="1">
      <c r="A23" s="89" t="s">
        <v>294</v>
      </c>
      <c r="B23" s="90">
        <v>46268</v>
      </c>
      <c r="C23" s="90" t="s">
        <v>290</v>
      </c>
      <c r="D23" s="90">
        <v>46268</v>
      </c>
      <c r="E23" s="90" t="s">
        <v>53</v>
      </c>
      <c r="F23" s="91" t="s">
        <v>284</v>
      </c>
      <c r="G23" s="91" t="s">
        <v>285</v>
      </c>
      <c r="H23" s="92" t="s">
        <v>286</v>
      </c>
      <c r="I23" s="91" t="s">
        <v>61</v>
      </c>
      <c r="J23" s="91" t="s">
        <v>95</v>
      </c>
      <c r="K23" s="91" t="s">
        <v>62</v>
      </c>
      <c r="L23" s="91" t="s">
        <v>289</v>
      </c>
      <c r="M23" s="91">
        <v>10</v>
      </c>
      <c r="N23" s="91">
        <v>150000</v>
      </c>
      <c r="O23" s="93">
        <v>178</v>
      </c>
      <c r="P23" s="93">
        <f t="shared" si="32"/>
        <v>26700</v>
      </c>
      <c r="Q23" s="93">
        <f t="shared" si="33"/>
        <v>2403</v>
      </c>
      <c r="R23" s="93">
        <f t="shared" si="34"/>
        <v>2403</v>
      </c>
      <c r="S23" s="93">
        <f t="shared" si="35"/>
        <v>31506</v>
      </c>
      <c r="T23" s="94"/>
      <c r="U23" s="95"/>
      <c r="AK23" s="97"/>
    </row>
    <row r="24" spans="1:37" s="96" customFormat="1" ht="18.75" customHeight="1">
      <c r="A24" s="89" t="s">
        <v>294</v>
      </c>
      <c r="B24" s="90">
        <v>46268</v>
      </c>
      <c r="C24" s="90" t="s">
        <v>291</v>
      </c>
      <c r="D24" s="90">
        <v>46268</v>
      </c>
      <c r="E24" s="90" t="s">
        <v>53</v>
      </c>
      <c r="F24" s="91" t="s">
        <v>281</v>
      </c>
      <c r="G24" s="91" t="s">
        <v>282</v>
      </c>
      <c r="H24" s="92" t="s">
        <v>283</v>
      </c>
      <c r="I24" s="91" t="s">
        <v>61</v>
      </c>
      <c r="J24" s="91" t="s">
        <v>95</v>
      </c>
      <c r="K24" s="91" t="s">
        <v>62</v>
      </c>
      <c r="L24" s="91" t="s">
        <v>288</v>
      </c>
      <c r="M24" s="91">
        <v>20</v>
      </c>
      <c r="N24" s="91">
        <v>100000</v>
      </c>
      <c r="O24" s="93">
        <v>367</v>
      </c>
      <c r="P24" s="93">
        <f t="shared" si="32"/>
        <v>36700</v>
      </c>
      <c r="Q24" s="93">
        <f t="shared" si="33"/>
        <v>3303</v>
      </c>
      <c r="R24" s="93">
        <f t="shared" si="34"/>
        <v>3303</v>
      </c>
      <c r="S24" s="93">
        <f t="shared" si="35"/>
        <v>43306</v>
      </c>
      <c r="T24" s="94"/>
      <c r="U24" s="95"/>
      <c r="AK24" s="97"/>
    </row>
    <row r="25" spans="1:37" s="96" customFormat="1" ht="18.75" customHeight="1">
      <c r="A25" s="89" t="s">
        <v>295</v>
      </c>
      <c r="B25" s="90">
        <v>46268</v>
      </c>
      <c r="C25" s="90" t="s">
        <v>292</v>
      </c>
      <c r="D25" s="90">
        <v>46268</v>
      </c>
      <c r="E25" s="90" t="s">
        <v>54</v>
      </c>
      <c r="F25" s="91" t="s">
        <v>281</v>
      </c>
      <c r="G25" s="91" t="s">
        <v>244</v>
      </c>
      <c r="H25" s="92" t="s">
        <v>245</v>
      </c>
      <c r="I25" s="91" t="s">
        <v>61</v>
      </c>
      <c r="J25" s="91" t="s">
        <v>77</v>
      </c>
      <c r="K25" s="91" t="s">
        <v>62</v>
      </c>
      <c r="L25" s="91" t="s">
        <v>287</v>
      </c>
      <c r="M25" s="91">
        <v>8</v>
      </c>
      <c r="N25" s="91">
        <v>120000</v>
      </c>
      <c r="O25" s="93">
        <v>178</v>
      </c>
      <c r="P25" s="93">
        <f t="shared" si="32"/>
        <v>21360</v>
      </c>
      <c r="Q25" s="93">
        <f t="shared" si="33"/>
        <v>1922.3999999999999</v>
      </c>
      <c r="R25" s="93">
        <f t="shared" si="34"/>
        <v>1922.3999999999999</v>
      </c>
      <c r="S25" s="93">
        <f t="shared" si="35"/>
        <v>25204.800000000003</v>
      </c>
      <c r="T25" s="94"/>
      <c r="U25" s="95"/>
      <c r="AK25" s="97"/>
    </row>
    <row r="26" spans="1:37" s="96" customFormat="1" ht="18.75" customHeight="1">
      <c r="A26" s="89" t="s">
        <v>295</v>
      </c>
      <c r="B26" s="90">
        <v>46268</v>
      </c>
      <c r="C26" s="90" t="s">
        <v>292</v>
      </c>
      <c r="D26" s="90">
        <v>46268</v>
      </c>
      <c r="E26" s="90" t="s">
        <v>54</v>
      </c>
      <c r="F26" s="91" t="s">
        <v>284</v>
      </c>
      <c r="G26" s="91" t="s">
        <v>285</v>
      </c>
      <c r="H26" s="92" t="s">
        <v>286</v>
      </c>
      <c r="I26" s="91" t="s">
        <v>61</v>
      </c>
      <c r="J26" s="91" t="s">
        <v>95</v>
      </c>
      <c r="K26" s="91" t="s">
        <v>62</v>
      </c>
      <c r="L26" s="91" t="s">
        <v>289</v>
      </c>
      <c r="M26" s="91">
        <v>8</v>
      </c>
      <c r="N26" s="91">
        <v>120000</v>
      </c>
      <c r="O26" s="93">
        <v>178</v>
      </c>
      <c r="P26" s="93">
        <f t="shared" si="32"/>
        <v>21360</v>
      </c>
      <c r="Q26" s="93">
        <f t="shared" si="33"/>
        <v>1922.3999999999999</v>
      </c>
      <c r="R26" s="93">
        <f t="shared" si="34"/>
        <v>1922.3999999999999</v>
      </c>
      <c r="S26" s="93">
        <f t="shared" si="35"/>
        <v>25204.800000000003</v>
      </c>
      <c r="T26" s="94"/>
      <c r="U26" s="95"/>
      <c r="AK26" s="97"/>
    </row>
    <row r="27" spans="1:37" s="96" customFormat="1" ht="18.75" customHeight="1">
      <c r="A27" s="89" t="s">
        <v>295</v>
      </c>
      <c r="B27" s="90">
        <v>46268</v>
      </c>
      <c r="C27" s="90" t="s">
        <v>293</v>
      </c>
      <c r="D27" s="90">
        <v>46268</v>
      </c>
      <c r="E27" s="90" t="s">
        <v>54</v>
      </c>
      <c r="F27" s="91" t="s">
        <v>281</v>
      </c>
      <c r="G27" s="91" t="s">
        <v>282</v>
      </c>
      <c r="H27" s="92" t="s">
        <v>283</v>
      </c>
      <c r="I27" s="91" t="s">
        <v>61</v>
      </c>
      <c r="J27" s="91" t="s">
        <v>95</v>
      </c>
      <c r="K27" s="91" t="s">
        <v>62</v>
      </c>
      <c r="L27" s="91" t="s">
        <v>288</v>
      </c>
      <c r="M27" s="91">
        <v>13</v>
      </c>
      <c r="N27" s="91">
        <v>65000</v>
      </c>
      <c r="O27" s="93">
        <v>367</v>
      </c>
      <c r="P27" s="93">
        <f t="shared" si="32"/>
        <v>23855</v>
      </c>
      <c r="Q27" s="93">
        <f t="shared" si="33"/>
        <v>2146.9499999999998</v>
      </c>
      <c r="R27" s="93">
        <f t="shared" si="34"/>
        <v>2146.9499999999998</v>
      </c>
      <c r="S27" s="93">
        <f t="shared" si="35"/>
        <v>28148.9</v>
      </c>
      <c r="T27" s="94"/>
      <c r="U27" s="95"/>
      <c r="AK27" s="97"/>
    </row>
    <row r="28" spans="1:37" s="96" customFormat="1" ht="18.75" customHeight="1">
      <c r="A28" s="89" t="s">
        <v>298</v>
      </c>
      <c r="B28" s="90">
        <v>46269</v>
      </c>
      <c r="C28" s="90" t="s">
        <v>300</v>
      </c>
      <c r="D28" s="90">
        <v>46269</v>
      </c>
      <c r="E28" s="90" t="s">
        <v>53</v>
      </c>
      <c r="F28" s="91" t="s">
        <v>296</v>
      </c>
      <c r="G28" s="91" t="s">
        <v>244</v>
      </c>
      <c r="H28" s="92" t="s">
        <v>245</v>
      </c>
      <c r="I28" s="91" t="s">
        <v>61</v>
      </c>
      <c r="J28" s="91" t="s">
        <v>77</v>
      </c>
      <c r="K28" s="91" t="s">
        <v>62</v>
      </c>
      <c r="L28" s="91" t="s">
        <v>297</v>
      </c>
      <c r="M28" s="91">
        <v>10</v>
      </c>
      <c r="N28" s="91">
        <v>150000</v>
      </c>
      <c r="O28" s="93">
        <v>178</v>
      </c>
      <c r="P28" s="93">
        <f t="shared" ref="P28:P29" si="36">+N28*O28/1000</f>
        <v>26700</v>
      </c>
      <c r="Q28" s="93">
        <f t="shared" ref="Q28:Q29" si="37">+P28*9%</f>
        <v>2403</v>
      </c>
      <c r="R28" s="93">
        <f t="shared" ref="R28:R29" si="38">+P28*9%</f>
        <v>2403</v>
      </c>
      <c r="S28" s="93">
        <f t="shared" ref="S28:S29" si="39">+P28+Q28+R28</f>
        <v>31506</v>
      </c>
      <c r="T28" s="94"/>
      <c r="U28" s="95"/>
      <c r="AK28" s="97"/>
    </row>
    <row r="29" spans="1:37" s="96" customFormat="1" ht="18.75" customHeight="1">
      <c r="A29" s="89" t="s">
        <v>299</v>
      </c>
      <c r="B29" s="90">
        <v>46269</v>
      </c>
      <c r="C29" s="90" t="s">
        <v>301</v>
      </c>
      <c r="D29" s="90">
        <v>46269</v>
      </c>
      <c r="E29" s="90" t="s">
        <v>54</v>
      </c>
      <c r="F29" s="91" t="s">
        <v>296</v>
      </c>
      <c r="G29" s="91" t="s">
        <v>244</v>
      </c>
      <c r="H29" s="92" t="s">
        <v>245</v>
      </c>
      <c r="I29" s="91" t="s">
        <v>61</v>
      </c>
      <c r="J29" s="91" t="s">
        <v>77</v>
      </c>
      <c r="K29" s="91" t="s">
        <v>62</v>
      </c>
      <c r="L29" s="91" t="s">
        <v>297</v>
      </c>
      <c r="M29" s="91">
        <v>5</v>
      </c>
      <c r="N29" s="91">
        <v>75000</v>
      </c>
      <c r="O29" s="93">
        <v>178</v>
      </c>
      <c r="P29" s="93">
        <f t="shared" si="36"/>
        <v>13350</v>
      </c>
      <c r="Q29" s="93">
        <f t="shared" si="37"/>
        <v>1201.5</v>
      </c>
      <c r="R29" s="93">
        <f t="shared" si="38"/>
        <v>1201.5</v>
      </c>
      <c r="S29" s="93">
        <f t="shared" si="39"/>
        <v>15753</v>
      </c>
      <c r="T29" s="94"/>
      <c r="U29" s="95"/>
      <c r="AK29" s="97"/>
    </row>
    <row r="30" spans="1:37" s="96" customFormat="1" ht="18.75" customHeight="1">
      <c r="A30" s="89" t="s">
        <v>331</v>
      </c>
      <c r="B30" s="90">
        <v>46270</v>
      </c>
      <c r="C30" s="90" t="s">
        <v>323</v>
      </c>
      <c r="D30" s="90">
        <v>46270</v>
      </c>
      <c r="E30" s="90" t="s">
        <v>53</v>
      </c>
      <c r="F30" s="91" t="s">
        <v>227</v>
      </c>
      <c r="G30" s="91" t="s">
        <v>224</v>
      </c>
      <c r="H30" s="92" t="s">
        <v>225</v>
      </c>
      <c r="I30" s="91" t="s">
        <v>61</v>
      </c>
      <c r="J30" s="91" t="s">
        <v>215</v>
      </c>
      <c r="K30" s="91" t="s">
        <v>62</v>
      </c>
      <c r="L30" s="91" t="s">
        <v>228</v>
      </c>
      <c r="M30" s="91">
        <v>58</v>
      </c>
      <c r="N30" s="91">
        <v>60900</v>
      </c>
      <c r="O30" s="93">
        <v>1660</v>
      </c>
      <c r="P30" s="93">
        <f t="shared" ref="P30:P44" si="40">+N30*O30/1000</f>
        <v>101094</v>
      </c>
      <c r="Q30" s="93">
        <f t="shared" ref="Q30:Q44" si="41">+P30*9%</f>
        <v>9098.4599999999991</v>
      </c>
      <c r="R30" s="93">
        <f t="shared" ref="R30:R44" si="42">+P30*9%</f>
        <v>9098.4599999999991</v>
      </c>
      <c r="S30" s="93">
        <f t="shared" ref="S30:S44" si="43">+P30+Q30+R30</f>
        <v>119290.91999999998</v>
      </c>
      <c r="T30" s="94"/>
      <c r="U30" s="95"/>
      <c r="AK30" s="97"/>
    </row>
    <row r="31" spans="1:37" s="96" customFormat="1" ht="18.75" customHeight="1">
      <c r="A31" s="89" t="s">
        <v>331</v>
      </c>
      <c r="B31" s="90">
        <v>46270</v>
      </c>
      <c r="C31" s="90" t="s">
        <v>323</v>
      </c>
      <c r="D31" s="90">
        <v>46270</v>
      </c>
      <c r="E31" s="90" t="s">
        <v>53</v>
      </c>
      <c r="F31" s="91" t="s">
        <v>229</v>
      </c>
      <c r="G31" s="91" t="s">
        <v>224</v>
      </c>
      <c r="H31" s="92" t="s">
        <v>225</v>
      </c>
      <c r="I31" s="91" t="s">
        <v>61</v>
      </c>
      <c r="J31" s="91" t="s">
        <v>215</v>
      </c>
      <c r="K31" s="91" t="s">
        <v>62</v>
      </c>
      <c r="L31" s="91" t="s">
        <v>230</v>
      </c>
      <c r="M31" s="91">
        <v>44</v>
      </c>
      <c r="N31" s="91">
        <v>46200</v>
      </c>
      <c r="O31" s="93">
        <v>1660</v>
      </c>
      <c r="P31" s="93">
        <f t="shared" si="40"/>
        <v>76692</v>
      </c>
      <c r="Q31" s="93">
        <f t="shared" si="41"/>
        <v>6902.28</v>
      </c>
      <c r="R31" s="93">
        <f t="shared" si="42"/>
        <v>6902.28</v>
      </c>
      <c r="S31" s="93">
        <f t="shared" si="43"/>
        <v>90496.56</v>
      </c>
      <c r="T31" s="94"/>
      <c r="U31" s="95"/>
      <c r="AK31" s="97"/>
    </row>
    <row r="32" spans="1:37" s="96" customFormat="1" ht="18.75" customHeight="1">
      <c r="A32" s="89" t="s">
        <v>332</v>
      </c>
      <c r="B32" s="90">
        <v>46270</v>
      </c>
      <c r="C32" s="90" t="s">
        <v>324</v>
      </c>
      <c r="D32" s="90">
        <v>46270</v>
      </c>
      <c r="E32" s="90" t="s">
        <v>54</v>
      </c>
      <c r="F32" s="91" t="s">
        <v>233</v>
      </c>
      <c r="G32" s="91" t="s">
        <v>339</v>
      </c>
      <c r="H32" s="92" t="s">
        <v>234</v>
      </c>
      <c r="I32" s="91" t="s">
        <v>61</v>
      </c>
      <c r="J32" s="91" t="s">
        <v>172</v>
      </c>
      <c r="K32" s="91" t="s">
        <v>62</v>
      </c>
      <c r="L32" s="91" t="s">
        <v>235</v>
      </c>
      <c r="M32" s="91">
        <v>68</v>
      </c>
      <c r="N32" s="91">
        <v>47600</v>
      </c>
      <c r="O32" s="93">
        <v>2336</v>
      </c>
      <c r="P32" s="93">
        <f t="shared" si="40"/>
        <v>111193.60000000001</v>
      </c>
      <c r="Q32" s="93">
        <f t="shared" si="41"/>
        <v>10007.424000000001</v>
      </c>
      <c r="R32" s="93">
        <f t="shared" si="42"/>
        <v>10007.424000000001</v>
      </c>
      <c r="S32" s="93">
        <f t="shared" si="43"/>
        <v>131208.448</v>
      </c>
      <c r="T32" s="94"/>
      <c r="U32" s="95"/>
      <c r="AK32" s="97"/>
    </row>
    <row r="33" spans="1:37" s="96" customFormat="1" ht="18.75" customHeight="1">
      <c r="A33" s="89" t="s">
        <v>332</v>
      </c>
      <c r="B33" s="90">
        <v>46270</v>
      </c>
      <c r="C33" s="90" t="s">
        <v>324</v>
      </c>
      <c r="D33" s="90">
        <v>46270</v>
      </c>
      <c r="E33" s="90" t="s">
        <v>54</v>
      </c>
      <c r="F33" s="91" t="s">
        <v>70</v>
      </c>
      <c r="G33" s="91" t="s">
        <v>236</v>
      </c>
      <c r="H33" s="92" t="s">
        <v>237</v>
      </c>
      <c r="I33" s="91" t="s">
        <v>61</v>
      </c>
      <c r="J33" s="91" t="s">
        <v>82</v>
      </c>
      <c r="K33" s="91" t="s">
        <v>62</v>
      </c>
      <c r="L33" s="91" t="s">
        <v>238</v>
      </c>
      <c r="M33" s="91">
        <v>65</v>
      </c>
      <c r="N33" s="91">
        <v>45500</v>
      </c>
      <c r="O33" s="93">
        <v>2336</v>
      </c>
      <c r="P33" s="93">
        <f t="shared" si="40"/>
        <v>106288</v>
      </c>
      <c r="Q33" s="93">
        <f t="shared" si="41"/>
        <v>9565.92</v>
      </c>
      <c r="R33" s="93">
        <f t="shared" si="42"/>
        <v>9565.92</v>
      </c>
      <c r="S33" s="93">
        <f t="shared" si="43"/>
        <v>125419.84</v>
      </c>
      <c r="T33" s="94"/>
      <c r="U33" s="95"/>
      <c r="AK33" s="97"/>
    </row>
    <row r="34" spans="1:37" s="96" customFormat="1" ht="18.75" customHeight="1">
      <c r="A34" s="89" t="s">
        <v>333</v>
      </c>
      <c r="B34" s="90">
        <v>46270</v>
      </c>
      <c r="C34" s="90" t="s">
        <v>325</v>
      </c>
      <c r="D34" s="90">
        <v>46270</v>
      </c>
      <c r="E34" s="90" t="s">
        <v>53</v>
      </c>
      <c r="F34" s="91" t="s">
        <v>302</v>
      </c>
      <c r="G34" s="91" t="s">
        <v>242</v>
      </c>
      <c r="H34" s="92" t="s">
        <v>243</v>
      </c>
      <c r="I34" s="91" t="s">
        <v>61</v>
      </c>
      <c r="J34" s="91" t="s">
        <v>65</v>
      </c>
      <c r="K34" s="91" t="s">
        <v>62</v>
      </c>
      <c r="L34" s="91" t="s">
        <v>313</v>
      </c>
      <c r="M34" s="91">
        <v>13</v>
      </c>
      <c r="N34" s="91">
        <v>195000</v>
      </c>
      <c r="O34" s="93">
        <v>178</v>
      </c>
      <c r="P34" s="93">
        <f t="shared" si="40"/>
        <v>34710</v>
      </c>
      <c r="Q34" s="93">
        <f t="shared" si="41"/>
        <v>3123.9</v>
      </c>
      <c r="R34" s="93">
        <f t="shared" si="42"/>
        <v>3123.9</v>
      </c>
      <c r="S34" s="93">
        <f t="shared" si="43"/>
        <v>40957.800000000003</v>
      </c>
      <c r="T34" s="94"/>
      <c r="U34" s="95"/>
      <c r="AK34" s="97"/>
    </row>
    <row r="35" spans="1:37" s="96" customFormat="1" ht="18.75" customHeight="1">
      <c r="A35" s="89" t="s">
        <v>333</v>
      </c>
      <c r="B35" s="90">
        <v>46270</v>
      </c>
      <c r="C35" s="90" t="s">
        <v>325</v>
      </c>
      <c r="D35" s="90">
        <v>46270</v>
      </c>
      <c r="E35" s="90" t="s">
        <v>53</v>
      </c>
      <c r="F35" s="91" t="s">
        <v>302</v>
      </c>
      <c r="G35" s="91" t="s">
        <v>244</v>
      </c>
      <c r="H35" s="92" t="s">
        <v>245</v>
      </c>
      <c r="I35" s="91" t="s">
        <v>61</v>
      </c>
      <c r="J35" s="91" t="s">
        <v>77</v>
      </c>
      <c r="K35" s="91" t="s">
        <v>62</v>
      </c>
      <c r="L35" s="91" t="s">
        <v>315</v>
      </c>
      <c r="M35" s="91">
        <v>18</v>
      </c>
      <c r="N35" s="91">
        <v>270000</v>
      </c>
      <c r="O35" s="93">
        <v>178</v>
      </c>
      <c r="P35" s="93">
        <f t="shared" si="40"/>
        <v>48060</v>
      </c>
      <c r="Q35" s="93">
        <f t="shared" si="41"/>
        <v>4325.3999999999996</v>
      </c>
      <c r="R35" s="93">
        <f t="shared" si="42"/>
        <v>4325.3999999999996</v>
      </c>
      <c r="S35" s="93">
        <f t="shared" si="43"/>
        <v>56710.8</v>
      </c>
      <c r="T35" s="94"/>
      <c r="U35" s="95"/>
      <c r="AK35" s="97"/>
    </row>
    <row r="36" spans="1:37" s="96" customFormat="1" ht="18.75" customHeight="1">
      <c r="A36" s="89" t="s">
        <v>333</v>
      </c>
      <c r="B36" s="90">
        <v>46270</v>
      </c>
      <c r="C36" s="90" t="s">
        <v>325</v>
      </c>
      <c r="D36" s="90">
        <v>46270</v>
      </c>
      <c r="E36" s="90" t="s">
        <v>53</v>
      </c>
      <c r="F36" s="91" t="s">
        <v>302</v>
      </c>
      <c r="G36" s="91" t="s">
        <v>250</v>
      </c>
      <c r="H36" s="92" t="s">
        <v>251</v>
      </c>
      <c r="I36" s="91" t="s">
        <v>61</v>
      </c>
      <c r="J36" s="91" t="s">
        <v>74</v>
      </c>
      <c r="K36" s="91" t="s">
        <v>62</v>
      </c>
      <c r="L36" s="91" t="s">
        <v>319</v>
      </c>
      <c r="M36" s="91">
        <v>18</v>
      </c>
      <c r="N36" s="91">
        <v>270000</v>
      </c>
      <c r="O36" s="93">
        <v>178</v>
      </c>
      <c r="P36" s="93">
        <f t="shared" si="40"/>
        <v>48060</v>
      </c>
      <c r="Q36" s="93">
        <f t="shared" si="41"/>
        <v>4325.3999999999996</v>
      </c>
      <c r="R36" s="93">
        <f t="shared" si="42"/>
        <v>4325.3999999999996</v>
      </c>
      <c r="S36" s="93">
        <f t="shared" si="43"/>
        <v>56710.8</v>
      </c>
      <c r="T36" s="94"/>
      <c r="U36" s="95"/>
      <c r="AK36" s="97"/>
    </row>
    <row r="37" spans="1:37" s="96" customFormat="1" ht="18.75" customHeight="1">
      <c r="A37" s="89" t="s">
        <v>334</v>
      </c>
      <c r="B37" s="90">
        <v>46270</v>
      </c>
      <c r="C37" s="90" t="s">
        <v>326</v>
      </c>
      <c r="D37" s="90">
        <v>46270</v>
      </c>
      <c r="E37" s="90" t="s">
        <v>53</v>
      </c>
      <c r="F37" s="91" t="s">
        <v>302</v>
      </c>
      <c r="G37" s="91" t="s">
        <v>204</v>
      </c>
      <c r="H37" s="92" t="s">
        <v>193</v>
      </c>
      <c r="I37" s="91" t="s">
        <v>61</v>
      </c>
      <c r="J37" s="91" t="s">
        <v>74</v>
      </c>
      <c r="K37" s="91" t="s">
        <v>62</v>
      </c>
      <c r="L37" s="91" t="s">
        <v>314</v>
      </c>
      <c r="M37" s="91">
        <v>63</v>
      </c>
      <c r="N37" s="91">
        <v>201600</v>
      </c>
      <c r="O37" s="93">
        <v>568</v>
      </c>
      <c r="P37" s="93">
        <f t="shared" si="40"/>
        <v>114508.8</v>
      </c>
      <c r="Q37" s="93">
        <f t="shared" si="41"/>
        <v>10305.791999999999</v>
      </c>
      <c r="R37" s="93">
        <f t="shared" si="42"/>
        <v>10305.791999999999</v>
      </c>
      <c r="S37" s="93">
        <f t="shared" si="43"/>
        <v>135120.38399999999</v>
      </c>
      <c r="T37" s="94"/>
      <c r="U37" s="95"/>
      <c r="AK37" s="97"/>
    </row>
    <row r="38" spans="1:37" s="96" customFormat="1" ht="18.75" customHeight="1">
      <c r="A38" s="89" t="s">
        <v>334</v>
      </c>
      <c r="B38" s="90">
        <v>46270</v>
      </c>
      <c r="C38" s="90" t="s">
        <v>326</v>
      </c>
      <c r="D38" s="90">
        <v>46270</v>
      </c>
      <c r="E38" s="90" t="s">
        <v>53</v>
      </c>
      <c r="F38" s="91" t="s">
        <v>302</v>
      </c>
      <c r="G38" s="91" t="s">
        <v>303</v>
      </c>
      <c r="H38" s="92" t="s">
        <v>64</v>
      </c>
      <c r="I38" s="91" t="s">
        <v>61</v>
      </c>
      <c r="J38" s="91" t="s">
        <v>65</v>
      </c>
      <c r="K38" s="91" t="s">
        <v>62</v>
      </c>
      <c r="L38" s="91" t="s">
        <v>317</v>
      </c>
      <c r="M38" s="91">
        <v>52</v>
      </c>
      <c r="N38" s="91">
        <v>166400</v>
      </c>
      <c r="O38" s="93">
        <v>568</v>
      </c>
      <c r="P38" s="93">
        <f t="shared" si="40"/>
        <v>94515.199999999997</v>
      </c>
      <c r="Q38" s="93">
        <f t="shared" si="41"/>
        <v>8506.3679999999986</v>
      </c>
      <c r="R38" s="93">
        <f t="shared" si="42"/>
        <v>8506.3679999999986</v>
      </c>
      <c r="S38" s="93">
        <f t="shared" si="43"/>
        <v>111527.936</v>
      </c>
      <c r="T38" s="94"/>
      <c r="U38" s="95"/>
      <c r="AK38" s="97"/>
    </row>
    <row r="39" spans="1:37" s="96" customFormat="1" ht="18.75" customHeight="1">
      <c r="A39" s="89" t="s">
        <v>335</v>
      </c>
      <c r="B39" s="90">
        <v>46270</v>
      </c>
      <c r="C39" s="90" t="s">
        <v>327</v>
      </c>
      <c r="D39" s="90">
        <v>46270</v>
      </c>
      <c r="E39" s="90" t="s">
        <v>53</v>
      </c>
      <c r="F39" s="91" t="s">
        <v>302</v>
      </c>
      <c r="G39" s="91" t="s">
        <v>304</v>
      </c>
      <c r="H39" s="92" t="s">
        <v>305</v>
      </c>
      <c r="I39" s="91" t="s">
        <v>61</v>
      </c>
      <c r="J39" s="91" t="s">
        <v>95</v>
      </c>
      <c r="K39" s="91" t="s">
        <v>62</v>
      </c>
      <c r="L39" s="91" t="s">
        <v>318</v>
      </c>
      <c r="M39" s="91">
        <v>63</v>
      </c>
      <c r="N39" s="91">
        <v>72450</v>
      </c>
      <c r="O39" s="93">
        <v>1518</v>
      </c>
      <c r="P39" s="93">
        <f t="shared" si="40"/>
        <v>109979.1</v>
      </c>
      <c r="Q39" s="93">
        <f t="shared" si="41"/>
        <v>9898.1190000000006</v>
      </c>
      <c r="R39" s="93">
        <f t="shared" si="42"/>
        <v>9898.1190000000006</v>
      </c>
      <c r="S39" s="93">
        <f t="shared" si="43"/>
        <v>129775.33800000002</v>
      </c>
      <c r="T39" s="94"/>
      <c r="U39" s="95"/>
      <c r="AK39" s="97"/>
    </row>
    <row r="40" spans="1:37" s="96" customFormat="1" ht="18.75" customHeight="1">
      <c r="A40" s="89" t="s">
        <v>336</v>
      </c>
      <c r="B40" s="90">
        <v>46270</v>
      </c>
      <c r="C40" s="90" t="s">
        <v>328</v>
      </c>
      <c r="D40" s="90">
        <v>46270</v>
      </c>
      <c r="E40" s="90" t="s">
        <v>53</v>
      </c>
      <c r="F40" s="91" t="s">
        <v>302</v>
      </c>
      <c r="G40" s="91" t="s">
        <v>306</v>
      </c>
      <c r="H40" s="92" t="s">
        <v>307</v>
      </c>
      <c r="I40" s="91" t="s">
        <v>61</v>
      </c>
      <c r="J40" s="91" t="s">
        <v>164</v>
      </c>
      <c r="K40" s="91" t="s">
        <v>62</v>
      </c>
      <c r="L40" s="91" t="s">
        <v>320</v>
      </c>
      <c r="M40" s="91">
        <v>56</v>
      </c>
      <c r="N40" s="91">
        <v>58800</v>
      </c>
      <c r="O40" s="93">
        <v>1660</v>
      </c>
      <c r="P40" s="93">
        <f t="shared" si="40"/>
        <v>97608</v>
      </c>
      <c r="Q40" s="93">
        <f t="shared" si="41"/>
        <v>8784.7199999999993</v>
      </c>
      <c r="R40" s="93">
        <f t="shared" si="42"/>
        <v>8784.7199999999993</v>
      </c>
      <c r="S40" s="93">
        <f t="shared" si="43"/>
        <v>115177.44</v>
      </c>
      <c r="T40" s="94"/>
      <c r="U40" s="95"/>
      <c r="AK40" s="97"/>
    </row>
    <row r="41" spans="1:37" s="96" customFormat="1" ht="18.75" customHeight="1">
      <c r="A41" s="89" t="s">
        <v>337</v>
      </c>
      <c r="B41" s="90">
        <v>46270</v>
      </c>
      <c r="C41" s="90" t="s">
        <v>329</v>
      </c>
      <c r="D41" s="90">
        <v>46270</v>
      </c>
      <c r="E41" s="90" t="s">
        <v>53</v>
      </c>
      <c r="F41" s="91" t="s">
        <v>308</v>
      </c>
      <c r="G41" s="91" t="s">
        <v>309</v>
      </c>
      <c r="H41" s="92" t="s">
        <v>310</v>
      </c>
      <c r="I41" s="91" t="s">
        <v>61</v>
      </c>
      <c r="J41" s="91" t="s">
        <v>95</v>
      </c>
      <c r="K41" s="91" t="s">
        <v>62</v>
      </c>
      <c r="L41" s="91" t="s">
        <v>321</v>
      </c>
      <c r="M41" s="91">
        <v>14</v>
      </c>
      <c r="N41" s="91">
        <v>58800</v>
      </c>
      <c r="O41" s="93">
        <v>431</v>
      </c>
      <c r="P41" s="93">
        <f t="shared" si="40"/>
        <v>25342.799999999999</v>
      </c>
      <c r="Q41" s="93">
        <f t="shared" si="41"/>
        <v>2280.8519999999999</v>
      </c>
      <c r="R41" s="93">
        <f t="shared" si="42"/>
        <v>2280.8519999999999</v>
      </c>
      <c r="S41" s="93">
        <f t="shared" si="43"/>
        <v>29904.503999999997</v>
      </c>
      <c r="T41" s="94"/>
      <c r="U41" s="95"/>
      <c r="AK41" s="97"/>
    </row>
    <row r="42" spans="1:37" s="96" customFormat="1" ht="18.75" customHeight="1">
      <c r="A42" s="89" t="s">
        <v>337</v>
      </c>
      <c r="B42" s="90">
        <v>46270</v>
      </c>
      <c r="C42" s="90" t="s">
        <v>329</v>
      </c>
      <c r="D42" s="90">
        <v>46270</v>
      </c>
      <c r="E42" s="90" t="s">
        <v>53</v>
      </c>
      <c r="F42" s="91" t="s">
        <v>308</v>
      </c>
      <c r="G42" s="91" t="s">
        <v>311</v>
      </c>
      <c r="H42" s="92" t="s">
        <v>312</v>
      </c>
      <c r="I42" s="91" t="s">
        <v>61</v>
      </c>
      <c r="J42" s="91" t="s">
        <v>215</v>
      </c>
      <c r="K42" s="91" t="s">
        <v>62</v>
      </c>
      <c r="L42" s="91" t="s">
        <v>322</v>
      </c>
      <c r="M42" s="91">
        <v>30</v>
      </c>
      <c r="N42" s="91">
        <v>126000</v>
      </c>
      <c r="O42" s="93">
        <v>431</v>
      </c>
      <c r="P42" s="93">
        <f t="shared" si="40"/>
        <v>54306</v>
      </c>
      <c r="Q42" s="93">
        <f t="shared" si="41"/>
        <v>4887.54</v>
      </c>
      <c r="R42" s="93">
        <f t="shared" si="42"/>
        <v>4887.54</v>
      </c>
      <c r="S42" s="93">
        <f t="shared" si="43"/>
        <v>64081.08</v>
      </c>
      <c r="T42" s="94"/>
      <c r="U42" s="95"/>
      <c r="AK42" s="97"/>
    </row>
    <row r="43" spans="1:37" s="96" customFormat="1" ht="18.75" customHeight="1">
      <c r="A43" s="89" t="s">
        <v>338</v>
      </c>
      <c r="B43" s="90">
        <v>46270</v>
      </c>
      <c r="C43" s="90" t="s">
        <v>330</v>
      </c>
      <c r="D43" s="90">
        <v>46270</v>
      </c>
      <c r="E43" s="90" t="s">
        <v>54</v>
      </c>
      <c r="F43" s="91" t="s">
        <v>302</v>
      </c>
      <c r="G43" s="91" t="s">
        <v>242</v>
      </c>
      <c r="H43" s="92" t="s">
        <v>243</v>
      </c>
      <c r="I43" s="91" t="s">
        <v>61</v>
      </c>
      <c r="J43" s="91" t="s">
        <v>65</v>
      </c>
      <c r="K43" s="91" t="s">
        <v>62</v>
      </c>
      <c r="L43" s="91" t="s">
        <v>313</v>
      </c>
      <c r="M43" s="91">
        <v>13</v>
      </c>
      <c r="N43" s="91">
        <v>195000</v>
      </c>
      <c r="O43" s="93">
        <v>178</v>
      </c>
      <c r="P43" s="93">
        <f t="shared" si="40"/>
        <v>34710</v>
      </c>
      <c r="Q43" s="93">
        <f t="shared" si="41"/>
        <v>3123.9</v>
      </c>
      <c r="R43" s="93">
        <f t="shared" si="42"/>
        <v>3123.9</v>
      </c>
      <c r="S43" s="93">
        <f t="shared" si="43"/>
        <v>40957.800000000003</v>
      </c>
      <c r="T43" s="94"/>
      <c r="U43" s="95"/>
      <c r="AK43" s="97"/>
    </row>
    <row r="44" spans="1:37" s="96" customFormat="1" ht="18.75" customHeight="1">
      <c r="A44" s="89" t="s">
        <v>338</v>
      </c>
      <c r="B44" s="90">
        <v>46270</v>
      </c>
      <c r="C44" s="90" t="s">
        <v>330</v>
      </c>
      <c r="D44" s="90">
        <v>46270</v>
      </c>
      <c r="E44" s="90" t="s">
        <v>54</v>
      </c>
      <c r="F44" s="91" t="s">
        <v>302</v>
      </c>
      <c r="G44" s="91" t="s">
        <v>244</v>
      </c>
      <c r="H44" s="92" t="s">
        <v>245</v>
      </c>
      <c r="I44" s="91" t="s">
        <v>61</v>
      </c>
      <c r="J44" s="91" t="s">
        <v>77</v>
      </c>
      <c r="K44" s="91" t="s">
        <v>62</v>
      </c>
      <c r="L44" s="91" t="s">
        <v>316</v>
      </c>
      <c r="M44" s="91">
        <v>10</v>
      </c>
      <c r="N44" s="91">
        <v>150000</v>
      </c>
      <c r="O44" s="93">
        <v>178</v>
      </c>
      <c r="P44" s="93">
        <f t="shared" si="40"/>
        <v>26700</v>
      </c>
      <c r="Q44" s="93">
        <f t="shared" si="41"/>
        <v>2403</v>
      </c>
      <c r="R44" s="93">
        <f t="shared" si="42"/>
        <v>2403</v>
      </c>
      <c r="S44" s="93">
        <f t="shared" si="43"/>
        <v>31506</v>
      </c>
      <c r="T44" s="94"/>
      <c r="U44" s="95"/>
      <c r="AK44" s="97"/>
    </row>
    <row r="45" spans="1:37" s="106" customFormat="1" ht="18" customHeight="1">
      <c r="A45" s="98"/>
      <c r="B45" s="99"/>
      <c r="C45" s="98"/>
      <c r="D45" s="99"/>
      <c r="E45" s="98"/>
      <c r="F45" s="100"/>
      <c r="G45" s="100"/>
      <c r="H45" s="101"/>
      <c r="I45" s="100"/>
      <c r="J45" s="100"/>
      <c r="K45" s="100"/>
      <c r="L45" s="100"/>
      <c r="M45" s="100"/>
      <c r="N45" s="100"/>
      <c r="O45" s="102"/>
      <c r="P45" s="103"/>
      <c r="Q45" s="103"/>
      <c r="R45" s="103"/>
      <c r="S45" s="103"/>
      <c r="T45" s="104"/>
      <c r="U45" s="105"/>
      <c r="AK45" s="107"/>
    </row>
    <row r="46" spans="1:37" s="106" customFormat="1" ht="18" customHeight="1">
      <c r="A46" s="193" t="s">
        <v>5</v>
      </c>
      <c r="B46" s="194"/>
      <c r="C46" s="194"/>
      <c r="D46" s="194"/>
      <c r="E46" s="194"/>
      <c r="F46" s="194"/>
      <c r="G46" s="194"/>
      <c r="H46" s="195"/>
      <c r="I46" s="108"/>
      <c r="J46" s="108"/>
      <c r="K46" s="108"/>
      <c r="L46" s="108"/>
      <c r="M46" s="108">
        <f>SUM(M10:M45)</f>
        <v>988</v>
      </c>
      <c r="N46" s="108">
        <f>SUM(N10:N45)</f>
        <v>5103650</v>
      </c>
      <c r="O46" s="109"/>
      <c r="P46" s="110">
        <f>ROUND(SUM(P10:P45),0)</f>
        <v>1921296</v>
      </c>
      <c r="Q46" s="110">
        <f>ROUND(SUM(Q10:Q45),0)</f>
        <v>172917</v>
      </c>
      <c r="R46" s="110">
        <f>ROUND(SUM(R10:R45),0)</f>
        <v>172917</v>
      </c>
      <c r="S46" s="110">
        <f>ROUND(SUM(S10:S45),0)</f>
        <v>2267129</v>
      </c>
      <c r="AK46" s="107"/>
    </row>
    <row r="47" spans="1:37" ht="18" customHeight="1">
      <c r="D47" s="112"/>
      <c r="E47" s="112"/>
    </row>
    <row r="48" spans="1:37" ht="18" customHeight="1">
      <c r="P48" s="113"/>
      <c r="Q48" s="113"/>
      <c r="R48" s="113"/>
      <c r="S48" s="113"/>
    </row>
    <row r="49" spans="13:20" ht="18" customHeight="1">
      <c r="M49" s="113"/>
      <c r="P49" s="113"/>
    </row>
    <row r="50" spans="13:20" ht="18" customHeight="1">
      <c r="M50" s="113"/>
      <c r="P50" s="113"/>
      <c r="Q50" s="113"/>
      <c r="R50" s="113"/>
      <c r="S50" s="113"/>
    </row>
    <row r="51" spans="13:20" ht="18" customHeight="1">
      <c r="P51" s="113"/>
      <c r="T51" s="113"/>
    </row>
    <row r="52" spans="13:20" ht="18" customHeight="1">
      <c r="P52" s="113"/>
    </row>
  </sheetData>
  <autoFilter ref="A9:S46">
    <filterColumn colId="3"/>
  </autoFilter>
  <mergeCells count="3">
    <mergeCell ref="A2:S2"/>
    <mergeCell ref="A3:D3"/>
    <mergeCell ref="A46:H46"/>
  </mergeCells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5"/>
  <dimension ref="B3:M28"/>
  <sheetViews>
    <sheetView workbookViewId="0">
      <selection activeCell="G19" sqref="G19"/>
    </sheetView>
  </sheetViews>
  <sheetFormatPr defaultColWidth="9.140625" defaultRowHeight="15.75"/>
  <cols>
    <col min="1" max="1" width="4.140625" style="48" customWidth="1"/>
    <col min="2" max="2" width="8" style="48" customWidth="1"/>
    <col min="3" max="3" width="25.140625" style="48" customWidth="1"/>
    <col min="4" max="4" width="14.42578125" style="48" customWidth="1"/>
    <col min="5" max="6" width="14.85546875" style="48" customWidth="1"/>
    <col min="7" max="7" width="15.140625" style="48" customWidth="1"/>
    <col min="8" max="9" width="15.85546875" style="48" customWidth="1"/>
    <col min="10" max="10" width="11.5703125" style="48" bestFit="1" customWidth="1"/>
    <col min="11" max="11" width="14" style="48" customWidth="1"/>
    <col min="12" max="12" width="14.28515625" bestFit="1" customWidth="1"/>
    <col min="13" max="16384" width="9.140625" style="48"/>
  </cols>
  <sheetData>
    <row r="3" spans="2:13" ht="21" customHeight="1">
      <c r="B3" s="122" t="s">
        <v>114</v>
      </c>
      <c r="C3" s="123"/>
      <c r="D3" s="123"/>
      <c r="E3" s="123"/>
      <c r="F3" s="123"/>
      <c r="G3" s="123"/>
      <c r="H3" s="123"/>
      <c r="I3" s="124"/>
      <c r="L3" s="48"/>
    </row>
    <row r="4" spans="2:13" ht="21" customHeight="1">
      <c r="I4" s="125">
        <f ca="1">NOW()</f>
        <v>46270.639763541665</v>
      </c>
      <c r="L4" s="48"/>
    </row>
    <row r="5" spans="2:13" s="127" customFormat="1" ht="21" customHeight="1">
      <c r="B5" s="126" t="s">
        <v>115</v>
      </c>
      <c r="C5" s="126" t="s">
        <v>116</v>
      </c>
      <c r="D5" s="126" t="s">
        <v>4</v>
      </c>
      <c r="E5" s="126" t="s">
        <v>117</v>
      </c>
      <c r="F5" s="126" t="s">
        <v>118</v>
      </c>
      <c r="G5" s="126" t="s">
        <v>119</v>
      </c>
      <c r="H5" s="126" t="s">
        <v>120</v>
      </c>
      <c r="I5" s="126" t="s">
        <v>121</v>
      </c>
    </row>
    <row r="6" spans="2:13" ht="21" customHeight="1">
      <c r="B6" s="128">
        <v>1</v>
      </c>
      <c r="C6" s="128" t="s">
        <v>122</v>
      </c>
      <c r="D6" s="129">
        <v>0.10751288976018383</v>
      </c>
      <c r="E6" s="128">
        <f>+[1]Receipt!D6</f>
        <v>0</v>
      </c>
      <c r="F6" s="128">
        <f>+[1]Receipt!AJ6</f>
        <v>0</v>
      </c>
      <c r="G6" s="128">
        <f>+[1]Sales!AJ6</f>
        <v>0</v>
      </c>
      <c r="H6" s="128">
        <f>+[1]Sales!AK6</f>
        <v>0</v>
      </c>
      <c r="I6" s="129">
        <f t="shared" ref="I6:I20" si="0">+D6*H6/1000</f>
        <v>0</v>
      </c>
      <c r="K6" s="130"/>
      <c r="L6" s="130"/>
      <c r="M6" s="130"/>
    </row>
    <row r="7" spans="2:13" ht="21" customHeight="1">
      <c r="B7" s="128">
        <v>2</v>
      </c>
      <c r="C7" s="128" t="s">
        <v>123</v>
      </c>
      <c r="D7" s="129">
        <v>180</v>
      </c>
      <c r="E7" s="128">
        <f>+[1]Receipt!D7</f>
        <v>465000</v>
      </c>
      <c r="F7" s="128">
        <f>+[1]Receipt!AJ7</f>
        <v>2985000</v>
      </c>
      <c r="G7" s="131">
        <f>+[1]Sales!AJ7</f>
        <v>2985000</v>
      </c>
      <c r="H7" s="128">
        <f>+[1]Sales!AK7</f>
        <v>465000</v>
      </c>
      <c r="I7" s="129">
        <f t="shared" si="0"/>
        <v>83700</v>
      </c>
      <c r="K7" s="130"/>
      <c r="L7" s="130"/>
      <c r="M7" s="130"/>
    </row>
    <row r="8" spans="2:13" ht="21" customHeight="1">
      <c r="B8" s="128">
        <v>3</v>
      </c>
      <c r="C8" s="128" t="s">
        <v>124</v>
      </c>
      <c r="D8" s="129">
        <v>0.21</v>
      </c>
      <c r="E8" s="128">
        <f>+[1]Receipt!D8</f>
        <v>0</v>
      </c>
      <c r="F8" s="128">
        <f>+[1]Receipt!AJ8</f>
        <v>0</v>
      </c>
      <c r="G8" s="131">
        <f>+[1]Sales!AJ8</f>
        <v>0</v>
      </c>
      <c r="H8" s="128">
        <f>+[1]Sales!AK8</f>
        <v>0</v>
      </c>
      <c r="I8" s="129">
        <f t="shared" si="0"/>
        <v>0</v>
      </c>
      <c r="K8" s="130"/>
      <c r="L8" s="130"/>
      <c r="M8" s="130"/>
    </row>
    <row r="9" spans="2:13" ht="21" customHeight="1">
      <c r="B9" s="128">
        <v>4</v>
      </c>
      <c r="C9" s="128" t="s">
        <v>125</v>
      </c>
      <c r="D9" s="129">
        <v>0.28000000000000003</v>
      </c>
      <c r="E9" s="128">
        <f>+[1]Receipt!D9</f>
        <v>0</v>
      </c>
      <c r="F9" s="128">
        <f>+[1]Receipt!AJ9</f>
        <v>0</v>
      </c>
      <c r="G9" s="131">
        <f>+[1]Sales!AJ9</f>
        <v>0</v>
      </c>
      <c r="H9" s="128">
        <f>+[1]Sales!AK9</f>
        <v>0</v>
      </c>
      <c r="I9" s="129">
        <f t="shared" si="0"/>
        <v>0</v>
      </c>
      <c r="K9" s="130"/>
      <c r="L9" s="130"/>
      <c r="M9" s="130"/>
    </row>
    <row r="10" spans="2:13" ht="21" customHeight="1">
      <c r="B10" s="128">
        <v>5</v>
      </c>
      <c r="C10" s="128" t="s">
        <v>126</v>
      </c>
      <c r="D10" s="129">
        <v>282</v>
      </c>
      <c r="E10" s="128">
        <f>+[1]Receipt!D10</f>
        <v>0</v>
      </c>
      <c r="F10" s="128">
        <f>+[1]Receipt!AJ10</f>
        <v>0</v>
      </c>
      <c r="G10" s="131">
        <f>+[1]Sales!AJ10</f>
        <v>0</v>
      </c>
      <c r="H10" s="128">
        <f>+[1]Sales!AK10</f>
        <v>0</v>
      </c>
      <c r="I10" s="129">
        <f t="shared" si="0"/>
        <v>0</v>
      </c>
      <c r="K10" s="130"/>
      <c r="L10" s="130"/>
      <c r="M10" s="130"/>
    </row>
    <row r="11" spans="2:13" ht="21" customHeight="1">
      <c r="B11" s="128">
        <v>6</v>
      </c>
      <c r="C11" s="128" t="s">
        <v>127</v>
      </c>
      <c r="D11" s="129">
        <v>302</v>
      </c>
      <c r="E11" s="128">
        <f>+[1]Receipt!D11</f>
        <v>1261000</v>
      </c>
      <c r="F11" s="128">
        <f>+[1]Receipt!AJ11</f>
        <v>351000</v>
      </c>
      <c r="G11" s="131">
        <f>+[1]Sales!AJ11</f>
        <v>182000</v>
      </c>
      <c r="H11" s="128">
        <f>+[1]Sales!AK11</f>
        <v>1430000</v>
      </c>
      <c r="I11" s="129">
        <f t="shared" si="0"/>
        <v>431860</v>
      </c>
      <c r="K11" s="130"/>
      <c r="L11" s="130"/>
      <c r="M11" s="130"/>
    </row>
    <row r="12" spans="2:13" ht="21" customHeight="1">
      <c r="B12" s="128">
        <v>7</v>
      </c>
      <c r="C12" s="128" t="s">
        <v>128</v>
      </c>
      <c r="D12" s="129">
        <v>372</v>
      </c>
      <c r="E12" s="128">
        <f>+[1]Receipt!D12</f>
        <v>305000</v>
      </c>
      <c r="F12" s="128">
        <f>+[1]Receipt!AJ12</f>
        <v>905000</v>
      </c>
      <c r="G12" s="131">
        <f>+[1]Sales!AJ12</f>
        <v>905000</v>
      </c>
      <c r="H12" s="128">
        <f>+[1]Sales!AK12</f>
        <v>305000</v>
      </c>
      <c r="I12" s="129">
        <f t="shared" si="0"/>
        <v>113460</v>
      </c>
      <c r="K12" s="130"/>
      <c r="L12" s="130"/>
      <c r="M12" s="130"/>
    </row>
    <row r="13" spans="2:13" ht="21" customHeight="1">
      <c r="B13" s="128">
        <v>8</v>
      </c>
      <c r="C13" s="128" t="s">
        <v>129</v>
      </c>
      <c r="D13" s="129">
        <v>0.42</v>
      </c>
      <c r="E13" s="128">
        <f>+[1]Receipt!D13</f>
        <v>0</v>
      </c>
      <c r="F13" s="128">
        <f>+[1]Receipt!AJ13</f>
        <v>432600</v>
      </c>
      <c r="G13" s="131">
        <f>+[1]Sales!AJ13</f>
        <v>184800</v>
      </c>
      <c r="H13" s="128">
        <f>+[1]Sales!AK13</f>
        <v>247800</v>
      </c>
      <c r="I13" s="129">
        <f t="shared" si="0"/>
        <v>104.07599999999999</v>
      </c>
      <c r="K13" s="130"/>
      <c r="L13" s="130"/>
      <c r="M13" s="130"/>
    </row>
    <row r="14" spans="2:13" ht="21" customHeight="1">
      <c r="B14" s="128">
        <v>9</v>
      </c>
      <c r="C14" s="128" t="s">
        <v>130</v>
      </c>
      <c r="D14" s="129">
        <v>550</v>
      </c>
      <c r="E14" s="128">
        <f>+[1]Receipt!D14</f>
        <v>1660800</v>
      </c>
      <c r="F14" s="128">
        <f>+[1]Receipt!AJ14</f>
        <v>368000</v>
      </c>
      <c r="G14" s="131">
        <f>+[1]Sales!AJ14</f>
        <v>368000</v>
      </c>
      <c r="H14" s="128">
        <f>+[1]Sales!AK14</f>
        <v>1660800</v>
      </c>
      <c r="I14" s="129">
        <f t="shared" si="0"/>
        <v>913440</v>
      </c>
      <c r="K14" s="130"/>
      <c r="L14" s="130"/>
      <c r="M14" s="130"/>
    </row>
    <row r="15" spans="2:13" ht="21" customHeight="1">
      <c r="B15" s="128">
        <v>10</v>
      </c>
      <c r="C15" s="128" t="s">
        <v>131</v>
      </c>
      <c r="D15" s="129">
        <v>740</v>
      </c>
      <c r="E15" s="128">
        <f>+[1]Receipt!D15</f>
        <v>0</v>
      </c>
      <c r="F15" s="128">
        <f>+[1]Receipt!AJ15</f>
        <v>292600</v>
      </c>
      <c r="G15" s="131">
        <f>+[1]Sales!AJ15</f>
        <v>147400</v>
      </c>
      <c r="H15" s="128">
        <f>+[1]Sales!AK15</f>
        <v>145200</v>
      </c>
      <c r="I15" s="129">
        <f t="shared" si="0"/>
        <v>107448</v>
      </c>
      <c r="K15" s="130"/>
      <c r="L15" s="130"/>
      <c r="M15" s="130"/>
    </row>
    <row r="16" spans="2:13" ht="21" customHeight="1">
      <c r="B16" s="128">
        <v>11</v>
      </c>
      <c r="C16" s="128" t="s">
        <v>132</v>
      </c>
      <c r="D16" s="129">
        <v>904</v>
      </c>
      <c r="E16" s="128">
        <f>+[1]Receipt!D16</f>
        <v>0</v>
      </c>
      <c r="F16" s="128">
        <f>+[1]Receipt!AJ16</f>
        <v>0</v>
      </c>
      <c r="G16" s="131">
        <f>+[1]Sales!AJ16</f>
        <v>0</v>
      </c>
      <c r="H16" s="128">
        <f>+[1]Sales!AK16</f>
        <v>0</v>
      </c>
      <c r="I16" s="129">
        <f t="shared" si="0"/>
        <v>0</v>
      </c>
      <c r="K16" s="130"/>
      <c r="L16" s="130"/>
      <c r="M16" s="130"/>
    </row>
    <row r="17" spans="2:13" ht="21" customHeight="1">
      <c r="B17" s="128">
        <v>12</v>
      </c>
      <c r="C17" s="128" t="s">
        <v>133</v>
      </c>
      <c r="D17" s="129">
        <v>1248</v>
      </c>
      <c r="E17" s="128">
        <f>+[1]Receipt!D17</f>
        <v>0</v>
      </c>
      <c r="F17" s="128">
        <f>+[1]Receipt!AJ17</f>
        <v>0</v>
      </c>
      <c r="G17" s="131">
        <f>+[1]Sales!AJ17</f>
        <v>0</v>
      </c>
      <c r="H17" s="128">
        <f>+[1]Sales!AK17</f>
        <v>0</v>
      </c>
      <c r="I17" s="129">
        <f t="shared" si="0"/>
        <v>0</v>
      </c>
      <c r="K17" s="130"/>
      <c r="L17" s="130"/>
      <c r="M17" s="130"/>
    </row>
    <row r="18" spans="2:13" ht="21" customHeight="1">
      <c r="B18" s="128">
        <v>13</v>
      </c>
      <c r="C18" s="128" t="s">
        <v>134</v>
      </c>
      <c r="D18" s="129">
        <v>1471</v>
      </c>
      <c r="E18" s="128">
        <f>+[1]Receipt!D18</f>
        <v>274850</v>
      </c>
      <c r="F18" s="128">
        <f>+[1]Receipt!AJ18</f>
        <v>134550</v>
      </c>
      <c r="G18" s="131">
        <f>+[1]Sales!AJ18</f>
        <v>72450</v>
      </c>
      <c r="H18" s="128">
        <f>+[1]Sales!AK18</f>
        <v>336950</v>
      </c>
      <c r="I18" s="129">
        <f t="shared" si="0"/>
        <v>495653.45</v>
      </c>
      <c r="K18" s="130"/>
      <c r="L18" s="130"/>
      <c r="M18" s="130"/>
    </row>
    <row r="19" spans="2:13" ht="21" customHeight="1">
      <c r="B19" s="128">
        <v>14</v>
      </c>
      <c r="C19" s="128" t="s">
        <v>135</v>
      </c>
      <c r="D19" s="129">
        <v>1607</v>
      </c>
      <c r="E19" s="128">
        <f>+[1]Receipt!D19</f>
        <v>294000</v>
      </c>
      <c r="F19" s="128">
        <f>+[1]Receipt!AJ19</f>
        <v>287700</v>
      </c>
      <c r="G19" s="131">
        <f>+[1]Sales!AJ19</f>
        <v>165900</v>
      </c>
      <c r="H19" s="128">
        <f>+[1]Sales!AK19</f>
        <v>415800</v>
      </c>
      <c r="I19" s="129">
        <f t="shared" si="0"/>
        <v>668190.6</v>
      </c>
      <c r="K19" s="130"/>
      <c r="L19" s="130"/>
      <c r="M19" s="130"/>
    </row>
    <row r="20" spans="2:13" ht="21" customHeight="1">
      <c r="B20" s="128">
        <v>15</v>
      </c>
      <c r="C20" s="128" t="s">
        <v>136</v>
      </c>
      <c r="D20" s="129">
        <v>2270</v>
      </c>
      <c r="E20" s="128">
        <f>+[1]Receipt!D20</f>
        <v>135800</v>
      </c>
      <c r="F20" s="128">
        <f>+[1]Receipt!AJ20</f>
        <v>44100</v>
      </c>
      <c r="G20" s="128">
        <f>+[1]Sales!AJ20</f>
        <v>93100</v>
      </c>
      <c r="H20" s="128">
        <f>+[1]Sales!AK20</f>
        <v>86800</v>
      </c>
      <c r="I20" s="129">
        <f t="shared" si="0"/>
        <v>197036</v>
      </c>
      <c r="K20" s="130"/>
      <c r="L20" s="130"/>
      <c r="M20" s="130"/>
    </row>
    <row r="21" spans="2:13" ht="21" customHeight="1">
      <c r="B21" s="128"/>
      <c r="C21" s="128"/>
      <c r="D21" s="132"/>
      <c r="E21" s="128"/>
      <c r="F21" s="128"/>
      <c r="G21" s="128"/>
      <c r="H21" s="128"/>
      <c r="I21" s="129"/>
      <c r="K21" s="130"/>
      <c r="L21" s="48"/>
    </row>
    <row r="22" spans="2:13" ht="21" customHeight="1">
      <c r="B22" s="133" t="s">
        <v>5</v>
      </c>
      <c r="C22" s="134"/>
      <c r="D22" s="135"/>
      <c r="E22" s="136">
        <f>SUM(E6:E21)</f>
        <v>4396450</v>
      </c>
      <c r="F22" s="136">
        <f>SUM(F6:F21)</f>
        <v>5800550</v>
      </c>
      <c r="G22" s="136">
        <f>SUM(G6:G21)</f>
        <v>5103650</v>
      </c>
      <c r="H22" s="136">
        <f>SUM(H6:H21)</f>
        <v>5093350</v>
      </c>
      <c r="I22" s="137">
        <f>SUM(I6:I21)</f>
        <v>3010892.1260000002</v>
      </c>
      <c r="L22" s="48"/>
    </row>
    <row r="24" spans="2:13" ht="21" customHeight="1">
      <c r="B24" s="138" t="s">
        <v>137</v>
      </c>
      <c r="C24" s="138"/>
      <c r="D24" s="139" t="str">
        <f>IF(E22+F22-G22=H22,"STOCK OK"," STOCK NOT MATCHING")</f>
        <v>STOCK OK</v>
      </c>
      <c r="F24" s="140"/>
      <c r="G24" s="140"/>
      <c r="L24" s="48"/>
    </row>
    <row r="25" spans="2:13" ht="21" customHeight="1">
      <c r="F25" s="130"/>
      <c r="G25" s="140"/>
      <c r="L25" s="48"/>
    </row>
    <row r="26" spans="2:13" ht="21" customHeight="1">
      <c r="F26" s="130"/>
      <c r="G26" s="130"/>
      <c r="L26" s="48"/>
    </row>
    <row r="27" spans="2:13" ht="21" customHeight="1">
      <c r="F27" s="140"/>
      <c r="L27" s="48"/>
    </row>
    <row r="28" spans="2:13" ht="21" customHeight="1">
      <c r="F28" s="130"/>
      <c r="L28" s="48"/>
    </row>
  </sheetData>
  <conditionalFormatting sqref="H6:H20">
    <cfRule type="cellIs" dxfId="122" priority="13" stopIfTrue="1" operator="equal">
      <formula>0</formula>
    </cfRule>
    <cfRule type="cellIs" dxfId="121" priority="14" stopIfTrue="1" operator="lessThan">
      <formula>0</formula>
    </cfRule>
    <cfRule type="cellIs" dxfId="120" priority="15" stopIfTrue="1" operator="greaterThan">
      <formula>0</formula>
    </cfRule>
  </conditionalFormatting>
  <conditionalFormatting sqref="H6:H20">
    <cfRule type="cellIs" dxfId="119" priority="10" stopIfTrue="1" operator="equal">
      <formula>0</formula>
    </cfRule>
    <cfRule type="cellIs" dxfId="118" priority="11" stopIfTrue="1" operator="lessThan">
      <formula>0</formula>
    </cfRule>
    <cfRule type="cellIs" dxfId="117" priority="12" stopIfTrue="1" operator="greaterThan">
      <formula>0</formula>
    </cfRule>
  </conditionalFormatting>
  <conditionalFormatting sqref="H6:H20">
    <cfRule type="cellIs" dxfId="116" priority="7" stopIfTrue="1" operator="equal">
      <formula>0</formula>
    </cfRule>
    <cfRule type="cellIs" dxfId="115" priority="8" stopIfTrue="1" operator="lessThan">
      <formula>0</formula>
    </cfRule>
    <cfRule type="cellIs" dxfId="114" priority="9" stopIfTrue="1" operator="greaterThan">
      <formula>0</formula>
    </cfRule>
  </conditionalFormatting>
  <conditionalFormatting sqref="H6:H20">
    <cfRule type="cellIs" dxfId="113" priority="4" stopIfTrue="1" operator="equal">
      <formula>0</formula>
    </cfRule>
    <cfRule type="cellIs" dxfId="112" priority="5" stopIfTrue="1" operator="lessThan">
      <formula>0</formula>
    </cfRule>
    <cfRule type="cellIs" dxfId="111" priority="6" stopIfTrue="1" operator="greaterThan">
      <formula>0</formula>
    </cfRule>
  </conditionalFormatting>
  <conditionalFormatting sqref="H6:H20">
    <cfRule type="cellIs" dxfId="110" priority="1" stopIfTrue="1" operator="equal">
      <formula>0</formula>
    </cfRule>
    <cfRule type="cellIs" dxfId="109" priority="2" stopIfTrue="1" operator="lessThan">
      <formula>0</formula>
    </cfRule>
    <cfRule type="cellIs" dxfId="108" priority="3" stopIfTrue="1" operator="greaterThan">
      <formula>0</formula>
    </cfRule>
  </conditionalFormatting>
  <pageMargins left="0.22916666666666699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W77"/>
  <sheetViews>
    <sheetView topLeftCell="A7" zoomScale="84" zoomScaleNormal="84" workbookViewId="0">
      <selection activeCell="F35" sqref="F35"/>
    </sheetView>
  </sheetViews>
  <sheetFormatPr defaultColWidth="9.140625" defaultRowHeight="15"/>
  <cols>
    <col min="1" max="1" width="20.140625" style="1" customWidth="1"/>
    <col min="2" max="3" width="17.140625" style="2" bestFit="1" customWidth="1"/>
    <col min="4" max="4" width="27.5703125" style="1" customWidth="1"/>
    <col min="5" max="5" width="43.5703125" style="1" bestFit="1" customWidth="1"/>
    <col min="6" max="6" width="11.85546875" style="1" customWidth="1"/>
    <col min="7" max="7" width="8.7109375" style="1" customWidth="1"/>
    <col min="8" max="8" width="7.85546875" style="1" customWidth="1"/>
    <col min="9" max="9" width="16.85546875" style="1" customWidth="1"/>
    <col min="10" max="10" width="8.140625" style="1" customWidth="1"/>
    <col min="11" max="11" width="13.28515625" style="1" customWidth="1"/>
    <col min="12" max="12" width="9" style="1" customWidth="1"/>
    <col min="13" max="13" width="6.5703125" style="1" customWidth="1"/>
    <col min="14" max="14" width="17.42578125" style="1" customWidth="1"/>
    <col min="15" max="16" width="12.85546875" style="1" customWidth="1"/>
    <col min="17" max="17" width="15.42578125" style="1" customWidth="1"/>
    <col min="18" max="16384" width="9.140625" style="1"/>
  </cols>
  <sheetData>
    <row r="1" spans="1:21" s="145" customFormat="1">
      <c r="A1" s="141" t="s">
        <v>138</v>
      </c>
      <c r="B1" s="142" t="s">
        <v>139</v>
      </c>
      <c r="C1" s="142"/>
      <c r="D1" s="143" t="s">
        <v>140</v>
      </c>
      <c r="E1" s="144" t="s">
        <v>141</v>
      </c>
    </row>
    <row r="2" spans="1:21" s="145" customFormat="1" ht="23.25">
      <c r="B2" s="146"/>
      <c r="C2" s="146"/>
      <c r="N2" s="147">
        <f ca="1">+NOW()</f>
        <v>46270.639763541665</v>
      </c>
    </row>
    <row r="3" spans="1:21" ht="23.25">
      <c r="A3" s="148" t="s">
        <v>142</v>
      </c>
      <c r="B3" s="149"/>
      <c r="C3" s="149"/>
      <c r="D3" s="150"/>
      <c r="E3" s="147">
        <f ca="1">NOW()</f>
        <v>46270.639763541665</v>
      </c>
      <c r="F3" s="150"/>
      <c r="G3" s="150"/>
      <c r="H3" s="150"/>
      <c r="I3" s="150"/>
      <c r="J3" s="150"/>
      <c r="K3" s="150"/>
      <c r="L3" s="150"/>
      <c r="M3" s="150"/>
      <c r="N3" s="151"/>
    </row>
    <row r="4" spans="1:21" s="154" customFormat="1" ht="93.75">
      <c r="A4" s="152" t="s">
        <v>143</v>
      </c>
      <c r="B4" s="153" t="s">
        <v>144</v>
      </c>
      <c r="C4" s="153" t="s">
        <v>145</v>
      </c>
      <c r="D4" s="152" t="s">
        <v>7</v>
      </c>
      <c r="E4" s="152" t="s">
        <v>146</v>
      </c>
      <c r="F4" s="152" t="s">
        <v>8</v>
      </c>
      <c r="G4" s="152" t="s">
        <v>9</v>
      </c>
      <c r="H4" s="152" t="s">
        <v>0</v>
      </c>
      <c r="I4" s="152" t="s">
        <v>147</v>
      </c>
      <c r="J4" s="152" t="s">
        <v>148</v>
      </c>
      <c r="K4" s="152" t="s">
        <v>149</v>
      </c>
      <c r="L4" s="152" t="s">
        <v>150</v>
      </c>
      <c r="M4" s="152" t="s">
        <v>151</v>
      </c>
      <c r="N4" s="152" t="s">
        <v>152</v>
      </c>
      <c r="O4" s="152" t="s">
        <v>153</v>
      </c>
      <c r="P4" s="152" t="s">
        <v>154</v>
      </c>
    </row>
    <row r="5" spans="1:21">
      <c r="A5" s="155"/>
      <c r="B5" s="156"/>
      <c r="C5" s="156"/>
      <c r="D5" s="30"/>
      <c r="E5" s="30" t="s">
        <v>155</v>
      </c>
      <c r="F5" s="155" t="s">
        <v>156</v>
      </c>
      <c r="G5" s="155" t="s">
        <v>95</v>
      </c>
      <c r="H5" s="155" t="s">
        <v>62</v>
      </c>
      <c r="I5" s="155"/>
      <c r="J5" s="155"/>
      <c r="K5" s="155"/>
      <c r="L5" s="157"/>
      <c r="M5" s="155">
        <v>1</v>
      </c>
      <c r="N5" s="157">
        <f t="shared" ref="N5" si="0">K5*L5/M5</f>
        <v>0</v>
      </c>
      <c r="O5" s="158">
        <f ca="1">$N$2-B5</f>
        <v>46270.639763541665</v>
      </c>
      <c r="P5" s="158">
        <f ca="1">$N$2-C5</f>
        <v>46270.639763541665</v>
      </c>
    </row>
    <row r="6" spans="1:21">
      <c r="A6" s="155"/>
      <c r="B6" s="156"/>
      <c r="C6" s="156"/>
      <c r="D6" s="30"/>
      <c r="E6" s="30"/>
      <c r="F6" s="155"/>
      <c r="G6" s="155"/>
      <c r="H6" s="155"/>
      <c r="I6" s="155"/>
      <c r="J6" s="155"/>
      <c r="K6" s="155"/>
      <c r="L6" s="157"/>
      <c r="M6" s="155"/>
      <c r="N6" s="157"/>
      <c r="O6" s="158"/>
      <c r="P6" s="158"/>
    </row>
    <row r="7" spans="1:21" ht="18.75">
      <c r="A7" s="159" t="s">
        <v>157</v>
      </c>
      <c r="B7" s="160"/>
      <c r="C7" s="160"/>
      <c r="D7" s="160"/>
      <c r="E7" s="160"/>
      <c r="F7" s="160"/>
      <c r="G7" s="160"/>
      <c r="H7" s="160"/>
      <c r="I7" s="161"/>
      <c r="J7" s="162">
        <f>SUM(J5:J6)</f>
        <v>0</v>
      </c>
      <c r="K7" s="162">
        <f>SUM(K5:K6)</f>
        <v>0</v>
      </c>
      <c r="L7" s="163"/>
      <c r="M7" s="162"/>
      <c r="N7" s="163">
        <f>SUM(N5:N6)</f>
        <v>0</v>
      </c>
      <c r="O7" s="158"/>
      <c r="P7" s="158"/>
    </row>
    <row r="8" spans="1:21" s="168" customFormat="1">
      <c r="A8" s="164" t="s">
        <v>158</v>
      </c>
      <c r="B8" s="165">
        <v>46101</v>
      </c>
      <c r="C8" s="165">
        <v>46106</v>
      </c>
      <c r="D8" s="166" t="s">
        <v>159</v>
      </c>
      <c r="E8" s="166" t="s">
        <v>160</v>
      </c>
      <c r="F8" s="164" t="s">
        <v>61</v>
      </c>
      <c r="G8" s="164" t="s">
        <v>161</v>
      </c>
      <c r="H8" s="164" t="s">
        <v>62</v>
      </c>
      <c r="I8" s="164" t="s">
        <v>162</v>
      </c>
      <c r="J8" s="164">
        <v>31</v>
      </c>
      <c r="K8" s="164">
        <v>465000</v>
      </c>
      <c r="L8" s="167">
        <v>176</v>
      </c>
      <c r="M8" s="164">
        <v>1000</v>
      </c>
      <c r="N8" s="167">
        <f t="shared" ref="N8" si="1">K8*L8/M8</f>
        <v>81840</v>
      </c>
      <c r="O8" s="158">
        <f t="shared" ref="O8:P8" ca="1" si="2">$N$2-B8</f>
        <v>169.63976354166516</v>
      </c>
      <c r="P8" s="158">
        <f t="shared" ca="1" si="2"/>
        <v>164.63976354166516</v>
      </c>
    </row>
    <row r="9" spans="1:21">
      <c r="A9" s="155"/>
      <c r="B9" s="169"/>
      <c r="C9" s="169"/>
      <c r="D9" s="170"/>
      <c r="E9" s="170"/>
      <c r="F9" s="171"/>
      <c r="G9" s="171"/>
      <c r="H9" s="171"/>
      <c r="I9" s="155"/>
      <c r="J9" s="164"/>
      <c r="K9" s="155"/>
      <c r="L9" s="157"/>
      <c r="M9" s="155"/>
      <c r="N9" s="157"/>
      <c r="O9" s="158"/>
      <c r="P9" s="158"/>
      <c r="Q9" s="3"/>
      <c r="R9" s="3"/>
      <c r="S9" s="3"/>
      <c r="T9" s="3"/>
      <c r="U9" s="3"/>
    </row>
    <row r="10" spans="1:21" ht="18.75">
      <c r="A10" s="159" t="s">
        <v>157</v>
      </c>
      <c r="B10" s="160"/>
      <c r="C10" s="160"/>
      <c r="D10" s="160"/>
      <c r="E10" s="160"/>
      <c r="F10" s="160"/>
      <c r="G10" s="160"/>
      <c r="H10" s="160"/>
      <c r="I10" s="161"/>
      <c r="J10" s="172">
        <f>SUM(J8:J9)</f>
        <v>31</v>
      </c>
      <c r="K10" s="172">
        <f>SUM(K8:K9)</f>
        <v>465000</v>
      </c>
      <c r="L10" s="173"/>
      <c r="M10" s="172"/>
      <c r="N10" s="173">
        <f>SUM(N8:N9)</f>
        <v>81840</v>
      </c>
      <c r="O10" s="158"/>
      <c r="P10" s="158"/>
      <c r="Q10" s="3"/>
      <c r="R10" s="3"/>
      <c r="S10" s="3"/>
      <c r="T10" s="3"/>
      <c r="U10" s="3"/>
    </row>
    <row r="11" spans="1:21">
      <c r="A11" s="155"/>
      <c r="B11" s="156"/>
      <c r="C11" s="156"/>
      <c r="D11" s="30"/>
      <c r="E11" s="30" t="s">
        <v>163</v>
      </c>
      <c r="F11" s="155" t="s">
        <v>61</v>
      </c>
      <c r="G11" s="155" t="s">
        <v>164</v>
      </c>
      <c r="H11" s="155" t="s">
        <v>62</v>
      </c>
      <c r="I11" s="155"/>
      <c r="J11" s="155"/>
      <c r="K11" s="155"/>
      <c r="L11" s="157"/>
      <c r="M11" s="155">
        <v>1</v>
      </c>
      <c r="N11" s="157">
        <f>K11*L11/M11</f>
        <v>0</v>
      </c>
      <c r="O11" s="158">
        <f ca="1">$N$2-B11</f>
        <v>46270.639763541665</v>
      </c>
      <c r="P11" s="158">
        <f ca="1">$N$2-C11</f>
        <v>46270.639763541665</v>
      </c>
      <c r="Q11" s="3"/>
      <c r="R11" s="3"/>
      <c r="S11" s="3"/>
      <c r="T11" s="3"/>
      <c r="U11" s="3"/>
    </row>
    <row r="12" spans="1:21">
      <c r="A12" s="155"/>
      <c r="B12" s="169"/>
      <c r="C12" s="169"/>
      <c r="D12" s="170"/>
      <c r="E12" s="170"/>
      <c r="F12" s="171"/>
      <c r="G12" s="171"/>
      <c r="H12" s="171"/>
      <c r="I12" s="155"/>
      <c r="J12" s="171"/>
      <c r="K12" s="171"/>
      <c r="L12" s="174"/>
      <c r="M12" s="155"/>
      <c r="N12" s="157"/>
      <c r="O12" s="158"/>
      <c r="P12" s="158"/>
      <c r="Q12" s="3"/>
      <c r="R12" s="3"/>
      <c r="S12" s="3"/>
      <c r="T12" s="3"/>
      <c r="U12" s="3"/>
    </row>
    <row r="13" spans="1:21" ht="18.75">
      <c r="A13" s="159" t="s">
        <v>157</v>
      </c>
      <c r="B13" s="160"/>
      <c r="C13" s="160"/>
      <c r="D13" s="160"/>
      <c r="E13" s="160"/>
      <c r="F13" s="160"/>
      <c r="G13" s="160"/>
      <c r="H13" s="160"/>
      <c r="I13" s="161"/>
      <c r="J13" s="172">
        <f>SUM(J11:J12)</f>
        <v>0</v>
      </c>
      <c r="K13" s="172">
        <f>SUM(K11:K12)</f>
        <v>0</v>
      </c>
      <c r="L13" s="173"/>
      <c r="M13" s="172"/>
      <c r="N13" s="173">
        <f>SUM(N11:N12)</f>
        <v>0</v>
      </c>
      <c r="O13" s="158"/>
      <c r="P13" s="158"/>
    </row>
    <row r="14" spans="1:21">
      <c r="A14" s="155"/>
      <c r="B14" s="156"/>
      <c r="C14" s="156"/>
      <c r="D14" s="30"/>
      <c r="E14" s="30" t="s">
        <v>165</v>
      </c>
      <c r="F14" s="155" t="s">
        <v>61</v>
      </c>
      <c r="G14" s="155" t="s">
        <v>166</v>
      </c>
      <c r="H14" s="155" t="s">
        <v>62</v>
      </c>
      <c r="I14" s="155"/>
      <c r="J14" s="155"/>
      <c r="K14" s="155"/>
      <c r="L14" s="157"/>
      <c r="M14" s="155">
        <v>1</v>
      </c>
      <c r="N14" s="157">
        <f>K14*L14/M14</f>
        <v>0</v>
      </c>
      <c r="O14" s="158">
        <f ca="1">$N$2-B14</f>
        <v>46270.639763541665</v>
      </c>
      <c r="P14" s="158">
        <f ca="1">$N$2-C14</f>
        <v>46270.639763541665</v>
      </c>
    </row>
    <row r="15" spans="1:21">
      <c r="A15" s="155"/>
      <c r="B15" s="169"/>
      <c r="C15" s="169"/>
      <c r="D15" s="170"/>
      <c r="E15" s="170"/>
      <c r="F15" s="171"/>
      <c r="G15" s="171"/>
      <c r="H15" s="171"/>
      <c r="I15" s="155"/>
      <c r="J15" s="171"/>
      <c r="K15" s="171"/>
      <c r="L15" s="174"/>
      <c r="M15" s="155"/>
      <c r="N15" s="157"/>
      <c r="O15" s="158"/>
      <c r="P15" s="158"/>
    </row>
    <row r="16" spans="1:21" ht="18.75">
      <c r="A16" s="159" t="s">
        <v>157</v>
      </c>
      <c r="B16" s="160"/>
      <c r="C16" s="160"/>
      <c r="D16" s="160"/>
      <c r="E16" s="160"/>
      <c r="F16" s="160"/>
      <c r="G16" s="160"/>
      <c r="H16" s="160"/>
      <c r="I16" s="161"/>
      <c r="J16" s="172">
        <f>SUM(J14:J15)</f>
        <v>0</v>
      </c>
      <c r="K16" s="172">
        <f>SUM(K14:K15)</f>
        <v>0</v>
      </c>
      <c r="L16" s="173"/>
      <c r="M16" s="172"/>
      <c r="N16" s="173">
        <f>SUM(N14:N15)</f>
        <v>0</v>
      </c>
      <c r="O16" s="158"/>
      <c r="P16" s="158"/>
    </row>
    <row r="17" spans="1:23" s="168" customFormat="1" ht="17.25" customHeight="1">
      <c r="A17" s="164"/>
      <c r="B17" s="165"/>
      <c r="C17" s="165"/>
      <c r="D17" s="166"/>
      <c r="E17" s="166" t="s">
        <v>167</v>
      </c>
      <c r="F17" s="164" t="s">
        <v>61</v>
      </c>
      <c r="G17" s="164" t="s">
        <v>168</v>
      </c>
      <c r="H17" s="164" t="s">
        <v>62</v>
      </c>
      <c r="I17" s="164"/>
      <c r="J17" s="164"/>
      <c r="K17" s="164"/>
      <c r="L17" s="167"/>
      <c r="M17" s="164">
        <v>1000</v>
      </c>
      <c r="N17" s="167">
        <f t="shared" ref="N17" si="3">K17*L17/M17</f>
        <v>0</v>
      </c>
      <c r="O17" s="158">
        <f ca="1">$N$2-B17</f>
        <v>46270.639763541665</v>
      </c>
      <c r="P17" s="158">
        <f ca="1">$N$2-C17</f>
        <v>46270.639763541665</v>
      </c>
    </row>
    <row r="18" spans="1:23" ht="17.25" customHeight="1">
      <c r="A18" s="155"/>
      <c r="B18" s="156"/>
      <c r="C18" s="156"/>
      <c r="D18" s="30"/>
      <c r="E18" s="30"/>
      <c r="F18" s="155"/>
      <c r="G18" s="155"/>
      <c r="H18" s="155"/>
      <c r="I18" s="155"/>
      <c r="J18" s="155"/>
      <c r="K18" s="155"/>
      <c r="L18" s="157"/>
      <c r="M18" s="164"/>
      <c r="N18" s="167"/>
      <c r="O18" s="175"/>
      <c r="P18" s="175"/>
      <c r="Q18" s="3"/>
      <c r="R18" s="3"/>
      <c r="S18" s="3"/>
      <c r="T18" s="3"/>
      <c r="U18" s="3"/>
      <c r="V18" s="3"/>
      <c r="W18" s="3"/>
    </row>
    <row r="19" spans="1:23" ht="18" customHeight="1">
      <c r="A19" s="159" t="s">
        <v>157</v>
      </c>
      <c r="B19" s="160"/>
      <c r="C19" s="160"/>
      <c r="D19" s="160"/>
      <c r="E19" s="160"/>
      <c r="F19" s="160"/>
      <c r="G19" s="160"/>
      <c r="H19" s="160"/>
      <c r="I19" s="161"/>
      <c r="J19" s="176">
        <f>SUM(J17:J18)</f>
        <v>0</v>
      </c>
      <c r="K19" s="176">
        <f>SUM(K17:K18)</f>
        <v>0</v>
      </c>
      <c r="L19" s="177"/>
      <c r="M19" s="176"/>
      <c r="N19" s="177">
        <f>SUM(N17:N18)</f>
        <v>0</v>
      </c>
      <c r="O19" s="158"/>
      <c r="P19" s="158"/>
      <c r="Q19" s="3"/>
      <c r="R19" s="3"/>
      <c r="S19" s="3"/>
      <c r="T19" s="3"/>
      <c r="U19" s="3"/>
      <c r="V19" s="3"/>
      <c r="W19" s="3"/>
    </row>
    <row r="20" spans="1:23" s="168" customFormat="1" ht="17.25" customHeight="1">
      <c r="A20" s="164" t="s">
        <v>169</v>
      </c>
      <c r="B20" s="165">
        <v>46107</v>
      </c>
      <c r="C20" s="165">
        <v>46112</v>
      </c>
      <c r="D20" s="166" t="s">
        <v>170</v>
      </c>
      <c r="E20" s="166" t="s">
        <v>171</v>
      </c>
      <c r="F20" s="164" t="s">
        <v>61</v>
      </c>
      <c r="G20" s="164" t="s">
        <v>172</v>
      </c>
      <c r="H20" s="164" t="s">
        <v>62</v>
      </c>
      <c r="I20" s="164" t="s">
        <v>173</v>
      </c>
      <c r="J20" s="164">
        <v>49</v>
      </c>
      <c r="K20" s="164">
        <v>318500</v>
      </c>
      <c r="L20" s="167">
        <v>291</v>
      </c>
      <c r="M20" s="164">
        <v>1000</v>
      </c>
      <c r="N20" s="167">
        <f t="shared" ref="N20:N25" si="4">K20*L20/M20</f>
        <v>92683.5</v>
      </c>
      <c r="O20" s="158">
        <f t="shared" ref="O20:P25" ca="1" si="5">$N$2-B20</f>
        <v>163.63976354166516</v>
      </c>
      <c r="P20" s="158">
        <f t="shared" ca="1" si="5"/>
        <v>158.63976354166516</v>
      </c>
    </row>
    <row r="21" spans="1:23" s="168" customFormat="1" ht="17.25" customHeight="1">
      <c r="A21" s="164" t="s">
        <v>174</v>
      </c>
      <c r="B21" s="165">
        <v>46136</v>
      </c>
      <c r="C21" s="165">
        <v>46141</v>
      </c>
      <c r="D21" s="166" t="s">
        <v>170</v>
      </c>
      <c r="E21" s="166" t="s">
        <v>171</v>
      </c>
      <c r="F21" s="164" t="s">
        <v>61</v>
      </c>
      <c r="G21" s="164" t="s">
        <v>172</v>
      </c>
      <c r="H21" s="164" t="s">
        <v>62</v>
      </c>
      <c r="I21" s="164" t="s">
        <v>175</v>
      </c>
      <c r="J21" s="164">
        <v>6</v>
      </c>
      <c r="K21" s="164">
        <v>39000</v>
      </c>
      <c r="L21" s="167">
        <v>295</v>
      </c>
      <c r="M21" s="164">
        <v>1000</v>
      </c>
      <c r="N21" s="167">
        <f t="shared" si="4"/>
        <v>11505</v>
      </c>
      <c r="O21" s="158">
        <f t="shared" ca="1" si="5"/>
        <v>134.63976354166516</v>
      </c>
      <c r="P21" s="158">
        <f t="shared" ca="1" si="5"/>
        <v>129.63976354166516</v>
      </c>
    </row>
    <row r="22" spans="1:23" s="168" customFormat="1" ht="17.25" customHeight="1">
      <c r="A22" s="164" t="s">
        <v>174</v>
      </c>
      <c r="B22" s="165">
        <v>46136</v>
      </c>
      <c r="C22" s="165">
        <v>46141</v>
      </c>
      <c r="D22" s="166" t="s">
        <v>170</v>
      </c>
      <c r="E22" s="166" t="s">
        <v>171</v>
      </c>
      <c r="F22" s="164" t="s">
        <v>61</v>
      </c>
      <c r="G22" s="164" t="s">
        <v>172</v>
      </c>
      <c r="H22" s="164" t="s">
        <v>62</v>
      </c>
      <c r="I22" s="164" t="s">
        <v>176</v>
      </c>
      <c r="J22" s="164">
        <v>57</v>
      </c>
      <c r="K22" s="164">
        <v>370500</v>
      </c>
      <c r="L22" s="167">
        <v>295</v>
      </c>
      <c r="M22" s="164">
        <v>1000</v>
      </c>
      <c r="N22" s="167">
        <f t="shared" si="4"/>
        <v>109297.5</v>
      </c>
      <c r="O22" s="158">
        <f t="shared" ca="1" si="5"/>
        <v>134.63976354166516</v>
      </c>
      <c r="P22" s="158">
        <f t="shared" ca="1" si="5"/>
        <v>129.63976354166516</v>
      </c>
    </row>
    <row r="23" spans="1:23" s="168" customFormat="1" ht="17.25" customHeight="1">
      <c r="A23" s="164" t="s">
        <v>177</v>
      </c>
      <c r="B23" s="165">
        <v>46179</v>
      </c>
      <c r="C23" s="165">
        <v>46183</v>
      </c>
      <c r="D23" s="166" t="s">
        <v>178</v>
      </c>
      <c r="E23" s="166" t="s">
        <v>171</v>
      </c>
      <c r="F23" s="164" t="s">
        <v>61</v>
      </c>
      <c r="G23" s="164" t="s">
        <v>172</v>
      </c>
      <c r="H23" s="164" t="s">
        <v>62</v>
      </c>
      <c r="I23" s="164" t="s">
        <v>179</v>
      </c>
      <c r="J23" s="164">
        <v>61</v>
      </c>
      <c r="K23" s="164">
        <v>396500</v>
      </c>
      <c r="L23" s="167">
        <v>295</v>
      </c>
      <c r="M23" s="164">
        <v>1000</v>
      </c>
      <c r="N23" s="167">
        <f t="shared" si="4"/>
        <v>116967.5</v>
      </c>
      <c r="O23" s="158">
        <f t="shared" ca="1" si="5"/>
        <v>91.639763541665161</v>
      </c>
      <c r="P23" s="158">
        <f t="shared" ca="1" si="5"/>
        <v>87.639763541665161</v>
      </c>
    </row>
    <row r="24" spans="1:23" s="168" customFormat="1" ht="17.25" customHeight="1">
      <c r="A24" s="164" t="s">
        <v>70</v>
      </c>
      <c r="B24" s="165">
        <v>46261</v>
      </c>
      <c r="C24" s="165">
        <v>46265</v>
      </c>
      <c r="D24" s="166" t="s">
        <v>180</v>
      </c>
      <c r="E24" s="166" t="s">
        <v>181</v>
      </c>
      <c r="F24" s="164" t="s">
        <v>61</v>
      </c>
      <c r="G24" s="164" t="s">
        <v>85</v>
      </c>
      <c r="H24" s="164" t="s">
        <v>62</v>
      </c>
      <c r="I24" s="164" t="s">
        <v>182</v>
      </c>
      <c r="J24" s="164">
        <v>21</v>
      </c>
      <c r="K24" s="164">
        <v>136500</v>
      </c>
      <c r="L24" s="167">
        <v>295</v>
      </c>
      <c r="M24" s="164">
        <v>1000</v>
      </c>
      <c r="N24" s="167">
        <f t="shared" si="4"/>
        <v>40267.5</v>
      </c>
      <c r="O24" s="158">
        <f t="shared" ca="1" si="5"/>
        <v>9.639763541665161</v>
      </c>
      <c r="P24" s="158">
        <f t="shared" ca="1" si="5"/>
        <v>5.639763541665161</v>
      </c>
    </row>
    <row r="25" spans="1:23" s="168" customFormat="1" ht="17.25" customHeight="1">
      <c r="A25" s="164" t="s">
        <v>71</v>
      </c>
      <c r="B25" s="165">
        <v>46263</v>
      </c>
      <c r="C25" s="165">
        <v>46266</v>
      </c>
      <c r="D25" s="166" t="s">
        <v>90</v>
      </c>
      <c r="E25" s="166" t="s">
        <v>91</v>
      </c>
      <c r="F25" s="164" t="s">
        <v>61</v>
      </c>
      <c r="G25" s="164" t="s">
        <v>92</v>
      </c>
      <c r="H25" s="164" t="s">
        <v>62</v>
      </c>
      <c r="I25" s="164" t="s">
        <v>110</v>
      </c>
      <c r="J25" s="164">
        <v>26</v>
      </c>
      <c r="K25" s="164">
        <v>169000</v>
      </c>
      <c r="L25" s="167">
        <v>295</v>
      </c>
      <c r="M25" s="164">
        <v>1000</v>
      </c>
      <c r="N25" s="167">
        <f t="shared" si="4"/>
        <v>49855</v>
      </c>
      <c r="O25" s="158">
        <f t="shared" ca="1" si="5"/>
        <v>7.639763541665161</v>
      </c>
      <c r="P25" s="158">
        <f t="shared" ca="1" si="5"/>
        <v>4.639763541665161</v>
      </c>
    </row>
    <row r="26" spans="1:23" ht="18" customHeight="1">
      <c r="A26" s="155"/>
      <c r="B26" s="156"/>
      <c r="C26" s="156"/>
      <c r="D26" s="30"/>
      <c r="E26" s="30"/>
      <c r="F26" s="155"/>
      <c r="G26" s="155"/>
      <c r="H26" s="155"/>
      <c r="I26" s="155"/>
      <c r="J26" s="155"/>
      <c r="K26" s="155"/>
      <c r="L26" s="157"/>
      <c r="M26" s="164"/>
      <c r="N26" s="167"/>
      <c r="O26" s="178"/>
      <c r="P26" s="178"/>
    </row>
    <row r="27" spans="1:23" ht="16.5" customHeight="1">
      <c r="A27" s="159" t="s">
        <v>157</v>
      </c>
      <c r="B27" s="160"/>
      <c r="C27" s="160"/>
      <c r="D27" s="160"/>
      <c r="E27" s="160"/>
      <c r="F27" s="160"/>
      <c r="G27" s="160"/>
      <c r="H27" s="160"/>
      <c r="I27" s="161"/>
      <c r="J27" s="172">
        <f>SUM(J20:J26)</f>
        <v>220</v>
      </c>
      <c r="K27" s="172">
        <f>SUM(K20:K26)</f>
        <v>1430000</v>
      </c>
      <c r="L27" s="173"/>
      <c r="M27" s="172"/>
      <c r="N27" s="173">
        <f>SUM(N20:N26)</f>
        <v>420576</v>
      </c>
      <c r="O27" s="158"/>
      <c r="P27" s="158"/>
    </row>
    <row r="28" spans="1:23" s="3" customFormat="1" ht="17.25" customHeight="1">
      <c r="A28" s="164" t="s">
        <v>183</v>
      </c>
      <c r="B28" s="165">
        <v>45976</v>
      </c>
      <c r="C28" s="165">
        <v>45980</v>
      </c>
      <c r="D28" s="166" t="s">
        <v>184</v>
      </c>
      <c r="E28" s="30" t="s">
        <v>185</v>
      </c>
      <c r="F28" s="155" t="s">
        <v>61</v>
      </c>
      <c r="G28" s="155" t="s">
        <v>172</v>
      </c>
      <c r="H28" s="155" t="s">
        <v>62</v>
      </c>
      <c r="I28" s="164" t="s">
        <v>186</v>
      </c>
      <c r="J28" s="164">
        <v>61</v>
      </c>
      <c r="K28" s="164">
        <v>305000</v>
      </c>
      <c r="L28" s="167">
        <v>372</v>
      </c>
      <c r="M28" s="164">
        <v>1000</v>
      </c>
      <c r="N28" s="167">
        <f t="shared" ref="N28" si="6">K28*L28/M28</f>
        <v>113460</v>
      </c>
      <c r="O28" s="158">
        <f ca="1">$N$2-B28</f>
        <v>294.63976354166516</v>
      </c>
      <c r="P28" s="158">
        <f ca="1">$N$2-C28</f>
        <v>290.63976354166516</v>
      </c>
    </row>
    <row r="29" spans="1:23" ht="18" customHeight="1">
      <c r="A29" s="155"/>
      <c r="B29" s="156"/>
      <c r="C29" s="156"/>
      <c r="D29" s="30"/>
      <c r="E29" s="30"/>
      <c r="F29" s="155"/>
      <c r="G29" s="155"/>
      <c r="H29" s="155"/>
      <c r="I29" s="155"/>
      <c r="J29" s="155"/>
      <c r="K29" s="155"/>
      <c r="L29" s="157"/>
      <c r="M29" s="164"/>
      <c r="N29" s="167"/>
      <c r="O29" s="178"/>
      <c r="P29" s="178"/>
    </row>
    <row r="30" spans="1:23" ht="18" customHeight="1">
      <c r="A30" s="159" t="s">
        <v>157</v>
      </c>
      <c r="B30" s="160"/>
      <c r="C30" s="160"/>
      <c r="D30" s="160"/>
      <c r="E30" s="160"/>
      <c r="F30" s="160"/>
      <c r="G30" s="160"/>
      <c r="H30" s="160"/>
      <c r="I30" s="161"/>
      <c r="J30" s="176">
        <f>SUM(J28:J29)</f>
        <v>61</v>
      </c>
      <c r="K30" s="176">
        <f>SUM(K28:K29)</f>
        <v>305000</v>
      </c>
      <c r="L30" s="177"/>
      <c r="M30" s="176"/>
      <c r="N30" s="177">
        <f>SUM(N28:N29)</f>
        <v>113460</v>
      </c>
      <c r="O30" s="158"/>
      <c r="P30" s="158"/>
    </row>
    <row r="31" spans="1:23" s="168" customFormat="1" ht="17.25" customHeight="1">
      <c r="A31" s="164" t="s">
        <v>71</v>
      </c>
      <c r="B31" s="165">
        <v>46263</v>
      </c>
      <c r="C31" s="165">
        <v>46266</v>
      </c>
      <c r="D31" s="166" t="s">
        <v>98</v>
      </c>
      <c r="E31" s="166" t="s">
        <v>99</v>
      </c>
      <c r="F31" s="164" t="s">
        <v>61</v>
      </c>
      <c r="G31" s="164" t="s">
        <v>92</v>
      </c>
      <c r="H31" s="164" t="s">
        <v>62</v>
      </c>
      <c r="I31" s="164" t="s">
        <v>113</v>
      </c>
      <c r="J31" s="164">
        <v>59</v>
      </c>
      <c r="K31" s="164">
        <v>247800</v>
      </c>
      <c r="L31" s="167">
        <v>431</v>
      </c>
      <c r="M31" s="155">
        <v>1</v>
      </c>
      <c r="N31" s="157">
        <f t="shared" ref="N31" si="7">+K31*L31/1000</f>
        <v>106801.8</v>
      </c>
      <c r="O31" s="158">
        <f t="shared" ref="O31:P31" ca="1" si="8">$N$2-B31</f>
        <v>7.639763541665161</v>
      </c>
      <c r="P31" s="158">
        <f t="shared" ca="1" si="8"/>
        <v>4.639763541665161</v>
      </c>
    </row>
    <row r="32" spans="1:23" ht="18" customHeight="1">
      <c r="A32" s="155"/>
      <c r="B32" s="156"/>
      <c r="C32" s="156"/>
      <c r="D32" s="30"/>
      <c r="E32" s="30"/>
      <c r="F32" s="155"/>
      <c r="G32" s="155"/>
      <c r="H32" s="155"/>
      <c r="I32" s="155"/>
      <c r="J32" s="155"/>
      <c r="K32" s="155"/>
      <c r="L32" s="157"/>
      <c r="M32" s="155"/>
      <c r="N32" s="157"/>
      <c r="O32" s="158"/>
      <c r="P32" s="158"/>
    </row>
    <row r="33" spans="1:16" ht="18.75">
      <c r="A33" s="159" t="s">
        <v>157</v>
      </c>
      <c r="B33" s="160"/>
      <c r="C33" s="160"/>
      <c r="D33" s="160"/>
      <c r="E33" s="160"/>
      <c r="F33" s="160"/>
      <c r="G33" s="160"/>
      <c r="H33" s="160"/>
      <c r="I33" s="161"/>
      <c r="J33" s="162">
        <f>SUM(J31:J32)</f>
        <v>59</v>
      </c>
      <c r="K33" s="162">
        <f>SUM(K31:K32)</f>
        <v>247800</v>
      </c>
      <c r="L33" s="163"/>
      <c r="M33" s="162"/>
      <c r="N33" s="177">
        <f>SUM(N30:N32)</f>
        <v>220261.8</v>
      </c>
      <c r="O33" s="158"/>
      <c r="P33" s="158"/>
    </row>
    <row r="34" spans="1:16" s="3" customFormat="1">
      <c r="A34" s="179" t="s">
        <v>187</v>
      </c>
      <c r="B34" s="180">
        <v>45594</v>
      </c>
      <c r="C34" s="180">
        <v>45600</v>
      </c>
      <c r="D34" s="181" t="s">
        <v>188</v>
      </c>
      <c r="E34" s="181" t="s">
        <v>189</v>
      </c>
      <c r="F34" s="179" t="s">
        <v>61</v>
      </c>
      <c r="G34" s="179" t="s">
        <v>95</v>
      </c>
      <c r="H34" s="179" t="s">
        <v>62</v>
      </c>
      <c r="I34" s="179" t="s">
        <v>190</v>
      </c>
      <c r="J34" s="179">
        <f>66-1</f>
        <v>65</v>
      </c>
      <c r="K34" s="179">
        <f>211200-3200</f>
        <v>208000</v>
      </c>
      <c r="L34" s="182">
        <v>557</v>
      </c>
      <c r="M34" s="179">
        <v>1000</v>
      </c>
      <c r="N34" s="182">
        <f t="shared" ref="N34:N42" si="9">K34*L34/M34</f>
        <v>115856</v>
      </c>
      <c r="O34" s="158">
        <f t="shared" ref="O34:P42" ca="1" si="10">$N$2-B34</f>
        <v>676.63976354166516</v>
      </c>
      <c r="P34" s="158">
        <f t="shared" ca="1" si="10"/>
        <v>670.63976354166516</v>
      </c>
    </row>
    <row r="35" spans="1:16" s="3" customFormat="1">
      <c r="A35" s="179" t="s">
        <v>187</v>
      </c>
      <c r="B35" s="180">
        <v>45594</v>
      </c>
      <c r="C35" s="180">
        <v>45600</v>
      </c>
      <c r="D35" s="181" t="s">
        <v>188</v>
      </c>
      <c r="E35" s="181" t="s">
        <v>189</v>
      </c>
      <c r="F35" s="179" t="s">
        <v>61</v>
      </c>
      <c r="G35" s="179" t="s">
        <v>95</v>
      </c>
      <c r="H35" s="179" t="s">
        <v>62</v>
      </c>
      <c r="I35" s="179" t="s">
        <v>191</v>
      </c>
      <c r="J35" s="179">
        <v>66</v>
      </c>
      <c r="K35" s="179">
        <v>211200</v>
      </c>
      <c r="L35" s="182">
        <v>557</v>
      </c>
      <c r="M35" s="179">
        <v>1000</v>
      </c>
      <c r="N35" s="182">
        <f t="shared" si="9"/>
        <v>117638.39999999999</v>
      </c>
      <c r="O35" s="158">
        <f t="shared" ca="1" si="10"/>
        <v>676.63976354166516</v>
      </c>
      <c r="P35" s="158">
        <f t="shared" ca="1" si="10"/>
        <v>670.63976354166516</v>
      </c>
    </row>
    <row r="36" spans="1:16" s="3" customFormat="1">
      <c r="A36" s="179" t="s">
        <v>187</v>
      </c>
      <c r="B36" s="180">
        <v>45594</v>
      </c>
      <c r="C36" s="180">
        <v>45600</v>
      </c>
      <c r="D36" s="181" t="s">
        <v>192</v>
      </c>
      <c r="E36" s="181" t="s">
        <v>193</v>
      </c>
      <c r="F36" s="179" t="s">
        <v>61</v>
      </c>
      <c r="G36" s="179" t="s">
        <v>74</v>
      </c>
      <c r="H36" s="179" t="s">
        <v>62</v>
      </c>
      <c r="I36" s="179" t="s">
        <v>194</v>
      </c>
      <c r="J36" s="179">
        <f>55-1</f>
        <v>54</v>
      </c>
      <c r="K36" s="179">
        <f>176000-3200</f>
        <v>172800</v>
      </c>
      <c r="L36" s="182">
        <v>557</v>
      </c>
      <c r="M36" s="179">
        <v>1000</v>
      </c>
      <c r="N36" s="182">
        <f t="shared" si="9"/>
        <v>96249.600000000006</v>
      </c>
      <c r="O36" s="158">
        <f t="shared" ca="1" si="10"/>
        <v>676.63976354166516</v>
      </c>
      <c r="P36" s="158">
        <f t="shared" ca="1" si="10"/>
        <v>670.63976354166516</v>
      </c>
    </row>
    <row r="37" spans="1:16" s="3" customFormat="1">
      <c r="A37" s="179" t="s">
        <v>187</v>
      </c>
      <c r="B37" s="180">
        <v>45594</v>
      </c>
      <c r="C37" s="180">
        <v>45600</v>
      </c>
      <c r="D37" s="181" t="s">
        <v>195</v>
      </c>
      <c r="E37" s="181" t="s">
        <v>196</v>
      </c>
      <c r="F37" s="179" t="s">
        <v>61</v>
      </c>
      <c r="G37" s="179" t="s">
        <v>77</v>
      </c>
      <c r="H37" s="179" t="s">
        <v>62</v>
      </c>
      <c r="I37" s="179" t="s">
        <v>197</v>
      </c>
      <c r="J37" s="179">
        <f>60-1</f>
        <v>59</v>
      </c>
      <c r="K37" s="179">
        <f>192000-3200</f>
        <v>188800</v>
      </c>
      <c r="L37" s="182">
        <v>557</v>
      </c>
      <c r="M37" s="179">
        <v>1000</v>
      </c>
      <c r="N37" s="182">
        <f t="shared" si="9"/>
        <v>105161.60000000001</v>
      </c>
      <c r="O37" s="158">
        <f t="shared" ca="1" si="10"/>
        <v>676.63976354166516</v>
      </c>
      <c r="P37" s="158">
        <f t="shared" ca="1" si="10"/>
        <v>670.63976354166516</v>
      </c>
    </row>
    <row r="38" spans="1:16" s="3" customFormat="1">
      <c r="A38" s="179" t="s">
        <v>187</v>
      </c>
      <c r="B38" s="180">
        <v>45594</v>
      </c>
      <c r="C38" s="180">
        <v>45600</v>
      </c>
      <c r="D38" s="181" t="s">
        <v>195</v>
      </c>
      <c r="E38" s="181" t="s">
        <v>196</v>
      </c>
      <c r="F38" s="179" t="s">
        <v>61</v>
      </c>
      <c r="G38" s="179" t="s">
        <v>77</v>
      </c>
      <c r="H38" s="179" t="s">
        <v>62</v>
      </c>
      <c r="I38" s="179" t="s">
        <v>198</v>
      </c>
      <c r="J38" s="179">
        <v>56</v>
      </c>
      <c r="K38" s="179">
        <v>179200</v>
      </c>
      <c r="L38" s="182">
        <v>557</v>
      </c>
      <c r="M38" s="179">
        <v>1000</v>
      </c>
      <c r="N38" s="182">
        <f t="shared" si="9"/>
        <v>99814.399999999994</v>
      </c>
      <c r="O38" s="158">
        <f t="shared" ca="1" si="10"/>
        <v>676.63976354166516</v>
      </c>
      <c r="P38" s="158">
        <f t="shared" ca="1" si="10"/>
        <v>670.63976354166516</v>
      </c>
    </row>
    <row r="39" spans="1:16" s="3" customFormat="1">
      <c r="A39" s="179" t="s">
        <v>187</v>
      </c>
      <c r="B39" s="180">
        <v>45594</v>
      </c>
      <c r="C39" s="180">
        <v>45600</v>
      </c>
      <c r="D39" s="181" t="s">
        <v>195</v>
      </c>
      <c r="E39" s="181" t="s">
        <v>196</v>
      </c>
      <c r="F39" s="179" t="s">
        <v>61</v>
      </c>
      <c r="G39" s="179" t="s">
        <v>77</v>
      </c>
      <c r="H39" s="179" t="s">
        <v>62</v>
      </c>
      <c r="I39" s="179" t="s">
        <v>199</v>
      </c>
      <c r="J39" s="179">
        <v>60</v>
      </c>
      <c r="K39" s="179">
        <v>192000</v>
      </c>
      <c r="L39" s="182">
        <v>557</v>
      </c>
      <c r="M39" s="179">
        <v>1000</v>
      </c>
      <c r="N39" s="182">
        <f t="shared" si="9"/>
        <v>106944</v>
      </c>
      <c r="O39" s="158">
        <f t="shared" ca="1" si="10"/>
        <v>676.63976354166516</v>
      </c>
      <c r="P39" s="158">
        <f t="shared" ca="1" si="10"/>
        <v>670.63976354166516</v>
      </c>
    </row>
    <row r="40" spans="1:16" s="3" customFormat="1">
      <c r="A40" s="179" t="s">
        <v>187</v>
      </c>
      <c r="B40" s="180">
        <v>45594</v>
      </c>
      <c r="C40" s="180">
        <v>45600</v>
      </c>
      <c r="D40" s="181" t="s">
        <v>63</v>
      </c>
      <c r="E40" s="181" t="s">
        <v>64</v>
      </c>
      <c r="F40" s="179" t="s">
        <v>61</v>
      </c>
      <c r="G40" s="179" t="s">
        <v>65</v>
      </c>
      <c r="H40" s="179" t="s">
        <v>62</v>
      </c>
      <c r="I40" s="179" t="s">
        <v>200</v>
      </c>
      <c r="J40" s="179">
        <f>53-1</f>
        <v>52</v>
      </c>
      <c r="K40" s="179">
        <f>169600-3200</f>
        <v>166400</v>
      </c>
      <c r="L40" s="182">
        <v>557</v>
      </c>
      <c r="M40" s="179">
        <v>1000</v>
      </c>
      <c r="N40" s="182">
        <f t="shared" si="9"/>
        <v>92684.800000000003</v>
      </c>
      <c r="O40" s="158">
        <f t="shared" ca="1" si="10"/>
        <v>676.63976354166516</v>
      </c>
      <c r="P40" s="158">
        <f t="shared" ca="1" si="10"/>
        <v>670.63976354166516</v>
      </c>
    </row>
    <row r="41" spans="1:16" s="3" customFormat="1">
      <c r="A41" s="179" t="s">
        <v>187</v>
      </c>
      <c r="B41" s="180">
        <v>45594</v>
      </c>
      <c r="C41" s="180">
        <v>45600</v>
      </c>
      <c r="D41" s="181" t="s">
        <v>201</v>
      </c>
      <c r="E41" s="181" t="s">
        <v>202</v>
      </c>
      <c r="F41" s="179" t="s">
        <v>61</v>
      </c>
      <c r="G41" s="179" t="s">
        <v>161</v>
      </c>
      <c r="H41" s="179" t="s">
        <v>62</v>
      </c>
      <c r="I41" s="179" t="s">
        <v>203</v>
      </c>
      <c r="J41" s="179">
        <f>50-1</f>
        <v>49</v>
      </c>
      <c r="K41" s="179">
        <f>160000-3200</f>
        <v>156800</v>
      </c>
      <c r="L41" s="182">
        <v>557</v>
      </c>
      <c r="M41" s="179">
        <v>1000</v>
      </c>
      <c r="N41" s="182">
        <f t="shared" si="9"/>
        <v>87337.600000000006</v>
      </c>
      <c r="O41" s="158">
        <f t="shared" ca="1" si="10"/>
        <v>676.63976354166516</v>
      </c>
      <c r="P41" s="158">
        <f t="shared" ca="1" si="10"/>
        <v>670.63976354166516</v>
      </c>
    </row>
    <row r="42" spans="1:16" s="168" customFormat="1">
      <c r="A42" s="164" t="s">
        <v>70</v>
      </c>
      <c r="B42" s="165">
        <v>46261</v>
      </c>
      <c r="C42" s="165">
        <v>46265</v>
      </c>
      <c r="D42" s="166" t="s">
        <v>204</v>
      </c>
      <c r="E42" s="166" t="s">
        <v>193</v>
      </c>
      <c r="F42" s="164" t="s">
        <v>61</v>
      </c>
      <c r="G42" s="164" t="s">
        <v>74</v>
      </c>
      <c r="H42" s="164" t="s">
        <v>62</v>
      </c>
      <c r="I42" s="164" t="s">
        <v>205</v>
      </c>
      <c r="J42" s="164">
        <v>58</v>
      </c>
      <c r="K42" s="164">
        <v>185600</v>
      </c>
      <c r="L42" s="167">
        <v>568</v>
      </c>
      <c r="M42" s="164">
        <v>1000</v>
      </c>
      <c r="N42" s="167">
        <f t="shared" si="9"/>
        <v>105420.8</v>
      </c>
      <c r="O42" s="178">
        <f t="shared" ca="1" si="10"/>
        <v>9.639763541665161</v>
      </c>
      <c r="P42" s="178">
        <f t="shared" ca="1" si="10"/>
        <v>5.639763541665161</v>
      </c>
    </row>
    <row r="43" spans="1:16">
      <c r="A43" s="155"/>
      <c r="B43" s="156"/>
      <c r="C43" s="156"/>
      <c r="D43" s="30"/>
      <c r="E43" s="30"/>
      <c r="F43" s="155"/>
      <c r="G43" s="155"/>
      <c r="H43" s="155"/>
      <c r="I43" s="155"/>
      <c r="J43" s="155"/>
      <c r="K43" s="155"/>
      <c r="L43" s="157"/>
      <c r="M43" s="164"/>
      <c r="N43" s="167"/>
      <c r="O43" s="178"/>
      <c r="P43" s="178"/>
    </row>
    <row r="44" spans="1:16" ht="18.75">
      <c r="A44" s="159" t="s">
        <v>157</v>
      </c>
      <c r="B44" s="160"/>
      <c r="C44" s="160"/>
      <c r="D44" s="160"/>
      <c r="E44" s="160"/>
      <c r="F44" s="160"/>
      <c r="G44" s="160"/>
      <c r="H44" s="160"/>
      <c r="I44" s="161"/>
      <c r="J44" s="162">
        <f>SUM(J34:J43)</f>
        <v>519</v>
      </c>
      <c r="K44" s="162">
        <f>SUM(K34:K43)</f>
        <v>1660800</v>
      </c>
      <c r="L44" s="163"/>
      <c r="M44" s="162"/>
      <c r="N44" s="163">
        <f>SUM(N34:N43)</f>
        <v>927107.20000000007</v>
      </c>
      <c r="O44" s="158"/>
      <c r="P44" s="158"/>
    </row>
    <row r="45" spans="1:16" s="168" customFormat="1">
      <c r="A45" s="164" t="s">
        <v>71</v>
      </c>
      <c r="B45" s="165">
        <v>46263</v>
      </c>
      <c r="C45" s="165">
        <v>46266</v>
      </c>
      <c r="D45" s="166" t="s">
        <v>78</v>
      </c>
      <c r="E45" s="166" t="s">
        <v>79</v>
      </c>
      <c r="F45" s="164" t="s">
        <v>61</v>
      </c>
      <c r="G45" s="164" t="s">
        <v>74</v>
      </c>
      <c r="H45" s="164" t="s">
        <v>62</v>
      </c>
      <c r="I45" s="164" t="s">
        <v>105</v>
      </c>
      <c r="J45" s="164">
        <v>66</v>
      </c>
      <c r="K45" s="164">
        <v>145200</v>
      </c>
      <c r="L45" s="167">
        <v>764</v>
      </c>
      <c r="M45" s="164">
        <v>1000</v>
      </c>
      <c r="N45" s="167">
        <f t="shared" ref="N45" si="11">K45*L45/M45</f>
        <v>110932.8</v>
      </c>
      <c r="O45" s="158">
        <f t="shared" ref="O45:P45" ca="1" si="12">$N$2-B45</f>
        <v>7.639763541665161</v>
      </c>
      <c r="P45" s="158">
        <f t="shared" ca="1" si="12"/>
        <v>4.639763541665161</v>
      </c>
    </row>
    <row r="46" spans="1:16">
      <c r="A46" s="155"/>
      <c r="B46" s="156"/>
      <c r="C46" s="156"/>
      <c r="D46" s="30"/>
      <c r="E46" s="30"/>
      <c r="F46" s="155"/>
      <c r="G46" s="155"/>
      <c r="H46" s="155"/>
      <c r="I46" s="155"/>
      <c r="J46" s="155"/>
      <c r="K46" s="155"/>
      <c r="L46" s="157"/>
      <c r="M46" s="155"/>
      <c r="N46" s="157"/>
      <c r="O46" s="158"/>
      <c r="P46" s="158"/>
    </row>
    <row r="47" spans="1:16" ht="18.75">
      <c r="A47" s="159" t="s">
        <v>157</v>
      </c>
      <c r="B47" s="160"/>
      <c r="C47" s="160"/>
      <c r="D47" s="160"/>
      <c r="E47" s="160"/>
      <c r="F47" s="160"/>
      <c r="G47" s="160"/>
      <c r="H47" s="160"/>
      <c r="I47" s="161"/>
      <c r="J47" s="162">
        <f>SUM(J45:J46)</f>
        <v>66</v>
      </c>
      <c r="K47" s="162">
        <f>SUM(K45:K46)</f>
        <v>145200</v>
      </c>
      <c r="L47" s="163"/>
      <c r="M47" s="162"/>
      <c r="N47" s="163">
        <f>SUM(N45:N46)</f>
        <v>110932.8</v>
      </c>
      <c r="O47" s="158"/>
      <c r="P47" s="158"/>
    </row>
    <row r="48" spans="1:16" s="168" customFormat="1">
      <c r="A48" s="164"/>
      <c r="B48" s="165"/>
      <c r="C48" s="165"/>
      <c r="D48" s="166"/>
      <c r="E48" s="166" t="s">
        <v>206</v>
      </c>
      <c r="F48" s="164" t="s">
        <v>61</v>
      </c>
      <c r="G48" s="164" t="s">
        <v>85</v>
      </c>
      <c r="H48" s="164" t="s">
        <v>62</v>
      </c>
      <c r="I48" s="164"/>
      <c r="J48" s="164"/>
      <c r="K48" s="164"/>
      <c r="L48" s="167"/>
      <c r="M48" s="164"/>
      <c r="N48" s="167" t="e">
        <f t="shared" ref="N48" si="13">K48*L48/M48</f>
        <v>#DIV/0!</v>
      </c>
      <c r="O48" s="158">
        <f t="shared" ref="O48:P48" ca="1" si="14">$N$2-B48</f>
        <v>46270.639763541665</v>
      </c>
      <c r="P48" s="158">
        <f t="shared" ca="1" si="14"/>
        <v>46270.639763541665</v>
      </c>
    </row>
    <row r="49" spans="1:16">
      <c r="A49" s="155"/>
      <c r="B49" s="156"/>
      <c r="C49" s="156"/>
      <c r="D49" s="30"/>
      <c r="E49" s="30"/>
      <c r="F49" s="155"/>
      <c r="G49" s="155"/>
      <c r="H49" s="155"/>
      <c r="I49" s="155"/>
      <c r="J49" s="155"/>
      <c r="K49" s="155"/>
      <c r="L49" s="157"/>
      <c r="M49" s="155"/>
      <c r="N49" s="157"/>
      <c r="O49" s="158"/>
      <c r="P49" s="158"/>
    </row>
    <row r="50" spans="1:16" ht="18.75">
      <c r="A50" s="159" t="s">
        <v>157</v>
      </c>
      <c r="B50" s="160"/>
      <c r="C50" s="160"/>
      <c r="D50" s="160"/>
      <c r="E50" s="160"/>
      <c r="F50" s="160"/>
      <c r="G50" s="160"/>
      <c r="H50" s="160"/>
      <c r="I50" s="161"/>
      <c r="J50" s="162">
        <f>SUM(J48:J49)</f>
        <v>0</v>
      </c>
      <c r="K50" s="162">
        <f>SUM(K48:K49)</f>
        <v>0</v>
      </c>
      <c r="L50" s="163"/>
      <c r="M50" s="162"/>
      <c r="N50" s="163" t="e">
        <f>SUM(N48:N49)</f>
        <v>#DIV/0!</v>
      </c>
      <c r="O50" s="158"/>
      <c r="P50" s="158"/>
    </row>
    <row r="51" spans="1:16" s="168" customFormat="1">
      <c r="A51" s="164"/>
      <c r="B51" s="165"/>
      <c r="C51" s="165"/>
      <c r="D51" s="166"/>
      <c r="E51" s="166" t="s">
        <v>207</v>
      </c>
      <c r="F51" s="164" t="s">
        <v>61</v>
      </c>
      <c r="G51" s="164" t="s">
        <v>77</v>
      </c>
      <c r="H51" s="164" t="s">
        <v>62</v>
      </c>
      <c r="I51" s="164"/>
      <c r="J51" s="164"/>
      <c r="K51" s="164"/>
      <c r="L51" s="167"/>
      <c r="M51" s="164">
        <v>1000</v>
      </c>
      <c r="N51" s="167">
        <f t="shared" ref="N51" si="15">K51*L51/M51</f>
        <v>0</v>
      </c>
      <c r="O51" s="158">
        <f ca="1">$N$2-B51</f>
        <v>46270.639763541665</v>
      </c>
      <c r="P51" s="158">
        <f ca="1">$N$2-C51</f>
        <v>46270.639763541665</v>
      </c>
    </row>
    <row r="52" spans="1:16">
      <c r="A52" s="155"/>
      <c r="B52" s="156"/>
      <c r="C52" s="156"/>
      <c r="D52" s="30"/>
      <c r="E52" s="30"/>
      <c r="F52" s="155"/>
      <c r="G52" s="155"/>
      <c r="H52" s="155"/>
      <c r="I52" s="155"/>
      <c r="J52" s="155"/>
      <c r="K52" s="155"/>
      <c r="L52" s="157"/>
      <c r="M52" s="155"/>
      <c r="N52" s="157"/>
      <c r="O52" s="158"/>
      <c r="P52" s="158"/>
    </row>
    <row r="53" spans="1:16" ht="18.75">
      <c r="A53" s="159" t="s">
        <v>157</v>
      </c>
      <c r="B53" s="160"/>
      <c r="C53" s="160"/>
      <c r="D53" s="160"/>
      <c r="E53" s="160"/>
      <c r="F53" s="160"/>
      <c r="G53" s="160"/>
      <c r="H53" s="160"/>
      <c r="I53" s="161"/>
      <c r="J53" s="162">
        <f>SUM(J51:J52)</f>
        <v>0</v>
      </c>
      <c r="K53" s="162">
        <f>SUM(K51:K52)</f>
        <v>0</v>
      </c>
      <c r="L53" s="163"/>
      <c r="M53" s="162"/>
      <c r="N53" s="163" t="e">
        <f>SUM(N50:N52)</f>
        <v>#DIV/0!</v>
      </c>
      <c r="O53" s="158"/>
      <c r="P53" s="158"/>
    </row>
    <row r="54" spans="1:16" s="168" customFormat="1">
      <c r="A54" s="164" t="s">
        <v>208</v>
      </c>
      <c r="B54" s="165">
        <v>46099</v>
      </c>
      <c r="C54" s="165">
        <v>46105</v>
      </c>
      <c r="D54" s="166" t="s">
        <v>209</v>
      </c>
      <c r="E54" s="166" t="s">
        <v>210</v>
      </c>
      <c r="F54" s="164" t="s">
        <v>61</v>
      </c>
      <c r="G54" s="164" t="s">
        <v>172</v>
      </c>
      <c r="H54" s="164" t="s">
        <v>62</v>
      </c>
      <c r="I54" s="164" t="s">
        <v>211</v>
      </c>
      <c r="J54" s="164">
        <v>48</v>
      </c>
      <c r="K54" s="164">
        <v>55200</v>
      </c>
      <c r="L54" s="167">
        <v>1497</v>
      </c>
      <c r="M54" s="164">
        <v>1000</v>
      </c>
      <c r="N54" s="167">
        <f t="shared" ref="N54:N59" si="16">K54*L54/M54</f>
        <v>82634.399999999994</v>
      </c>
      <c r="O54" s="158">
        <f t="shared" ref="O54:P59" ca="1" si="17">$N$2-B54</f>
        <v>171.63976354166516</v>
      </c>
      <c r="P54" s="158">
        <f t="shared" ca="1" si="17"/>
        <v>165.63976354166516</v>
      </c>
    </row>
    <row r="55" spans="1:16" s="168" customFormat="1">
      <c r="A55" s="164" t="s">
        <v>212</v>
      </c>
      <c r="B55" s="165">
        <v>46135</v>
      </c>
      <c r="C55" s="165">
        <v>46139</v>
      </c>
      <c r="D55" s="166" t="s">
        <v>213</v>
      </c>
      <c r="E55" s="166" t="s">
        <v>214</v>
      </c>
      <c r="F55" s="164" t="s">
        <v>61</v>
      </c>
      <c r="G55" s="164" t="s">
        <v>215</v>
      </c>
      <c r="H55" s="164" t="s">
        <v>62</v>
      </c>
      <c r="I55" s="164" t="s">
        <v>216</v>
      </c>
      <c r="J55" s="164">
        <v>55</v>
      </c>
      <c r="K55" s="164">
        <v>63250</v>
      </c>
      <c r="L55" s="167">
        <v>1518</v>
      </c>
      <c r="M55" s="164">
        <v>1000</v>
      </c>
      <c r="N55" s="167">
        <f t="shared" si="16"/>
        <v>96013.5</v>
      </c>
      <c r="O55" s="158">
        <f t="shared" ca="1" si="17"/>
        <v>135.63976354166516</v>
      </c>
      <c r="P55" s="158">
        <f t="shared" ca="1" si="17"/>
        <v>131.63976354166516</v>
      </c>
    </row>
    <row r="56" spans="1:16" s="168" customFormat="1">
      <c r="A56" s="164" t="s">
        <v>217</v>
      </c>
      <c r="B56" s="165">
        <v>46192</v>
      </c>
      <c r="C56" s="165">
        <v>46196</v>
      </c>
      <c r="D56" s="166" t="s">
        <v>218</v>
      </c>
      <c r="E56" s="166" t="s">
        <v>210</v>
      </c>
      <c r="F56" s="164" t="s">
        <v>61</v>
      </c>
      <c r="G56" s="164" t="s">
        <v>172</v>
      </c>
      <c r="H56" s="164" t="s">
        <v>62</v>
      </c>
      <c r="I56" s="164" t="s">
        <v>219</v>
      </c>
      <c r="J56" s="164">
        <v>38</v>
      </c>
      <c r="K56" s="164">
        <v>43700</v>
      </c>
      <c r="L56" s="167">
        <v>1518</v>
      </c>
      <c r="M56" s="164">
        <v>1000</v>
      </c>
      <c r="N56" s="167">
        <f t="shared" si="16"/>
        <v>66336.600000000006</v>
      </c>
      <c r="O56" s="158">
        <f t="shared" ca="1" si="17"/>
        <v>78.639763541665161</v>
      </c>
      <c r="P56" s="158">
        <f t="shared" ca="1" si="17"/>
        <v>74.639763541665161</v>
      </c>
    </row>
    <row r="57" spans="1:16" s="168" customFormat="1">
      <c r="A57" s="164" t="s">
        <v>217</v>
      </c>
      <c r="B57" s="165">
        <v>46192</v>
      </c>
      <c r="C57" s="165">
        <v>46196</v>
      </c>
      <c r="D57" s="166" t="s">
        <v>218</v>
      </c>
      <c r="E57" s="166" t="s">
        <v>210</v>
      </c>
      <c r="F57" s="164" t="s">
        <v>61</v>
      </c>
      <c r="G57" s="164" t="s">
        <v>172</v>
      </c>
      <c r="H57" s="164" t="s">
        <v>62</v>
      </c>
      <c r="I57" s="164" t="s">
        <v>220</v>
      </c>
      <c r="J57" s="164">
        <v>50</v>
      </c>
      <c r="K57" s="164">
        <v>57500</v>
      </c>
      <c r="L57" s="167">
        <v>1518</v>
      </c>
      <c r="M57" s="164">
        <v>1000</v>
      </c>
      <c r="N57" s="167">
        <f t="shared" si="16"/>
        <v>87285</v>
      </c>
      <c r="O57" s="158">
        <f t="shared" ca="1" si="17"/>
        <v>78.639763541665161</v>
      </c>
      <c r="P57" s="158">
        <f t="shared" ca="1" si="17"/>
        <v>74.639763541665161</v>
      </c>
    </row>
    <row r="58" spans="1:16" s="168" customFormat="1">
      <c r="A58" s="164" t="s">
        <v>217</v>
      </c>
      <c r="B58" s="165">
        <v>46192</v>
      </c>
      <c r="C58" s="165">
        <v>46196</v>
      </c>
      <c r="D58" s="166" t="s">
        <v>221</v>
      </c>
      <c r="E58" s="166" t="s">
        <v>214</v>
      </c>
      <c r="F58" s="164" t="s">
        <v>61</v>
      </c>
      <c r="G58" s="164" t="s">
        <v>215</v>
      </c>
      <c r="H58" s="164" t="s">
        <v>62</v>
      </c>
      <c r="I58" s="164" t="s">
        <v>222</v>
      </c>
      <c r="J58" s="164">
        <v>48</v>
      </c>
      <c r="K58" s="164">
        <v>55200</v>
      </c>
      <c r="L58" s="167">
        <v>1518</v>
      </c>
      <c r="M58" s="164">
        <v>1000</v>
      </c>
      <c r="N58" s="167">
        <f t="shared" si="16"/>
        <v>83793.600000000006</v>
      </c>
      <c r="O58" s="158">
        <f t="shared" ca="1" si="17"/>
        <v>78.639763541665161</v>
      </c>
      <c r="P58" s="158">
        <f t="shared" ca="1" si="17"/>
        <v>74.639763541665161</v>
      </c>
    </row>
    <row r="59" spans="1:16" s="168" customFormat="1">
      <c r="A59" s="164" t="s">
        <v>71</v>
      </c>
      <c r="B59" s="165">
        <v>46263</v>
      </c>
      <c r="C59" s="165">
        <v>46266</v>
      </c>
      <c r="D59" s="166" t="s">
        <v>80</v>
      </c>
      <c r="E59" s="166" t="s">
        <v>81</v>
      </c>
      <c r="F59" s="164" t="s">
        <v>61</v>
      </c>
      <c r="G59" s="164" t="s">
        <v>82</v>
      </c>
      <c r="H59" s="164" t="s">
        <v>62</v>
      </c>
      <c r="I59" s="164" t="s">
        <v>106</v>
      </c>
      <c r="J59" s="164">
        <v>54</v>
      </c>
      <c r="K59" s="164">
        <v>62100</v>
      </c>
      <c r="L59" s="167">
        <v>1518</v>
      </c>
      <c r="M59" s="164">
        <v>1000</v>
      </c>
      <c r="N59" s="167">
        <f t="shared" si="16"/>
        <v>94267.8</v>
      </c>
      <c r="O59" s="158">
        <f t="shared" ca="1" si="17"/>
        <v>7.639763541665161</v>
      </c>
      <c r="P59" s="158">
        <f t="shared" ca="1" si="17"/>
        <v>4.639763541665161</v>
      </c>
    </row>
    <row r="60" spans="1:16">
      <c r="A60" s="155"/>
      <c r="B60" s="156"/>
      <c r="C60" s="156"/>
      <c r="D60" s="30"/>
      <c r="E60" s="30"/>
      <c r="F60" s="155"/>
      <c r="G60" s="155"/>
      <c r="H60" s="155"/>
      <c r="I60" s="155"/>
      <c r="J60" s="155"/>
      <c r="K60" s="155"/>
      <c r="L60" s="157"/>
      <c r="M60" s="157"/>
      <c r="N60" s="157"/>
      <c r="O60" s="157"/>
      <c r="P60" s="157"/>
    </row>
    <row r="61" spans="1:16" ht="18.75">
      <c r="A61" s="159" t="s">
        <v>157</v>
      </c>
      <c r="B61" s="160"/>
      <c r="C61" s="160"/>
      <c r="D61" s="160"/>
      <c r="E61" s="160"/>
      <c r="F61" s="160"/>
      <c r="G61" s="160"/>
      <c r="H61" s="160"/>
      <c r="I61" s="161"/>
      <c r="J61" s="162">
        <f>SUM(J54:J60)</f>
        <v>293</v>
      </c>
      <c r="K61" s="162">
        <f>SUM(K54:K60)</f>
        <v>336950</v>
      </c>
      <c r="L61" s="163"/>
      <c r="M61" s="162"/>
      <c r="N61" s="163">
        <f>SUM(N54:N60)</f>
        <v>510330.89999999997</v>
      </c>
      <c r="O61" s="158"/>
      <c r="P61" s="158"/>
    </row>
    <row r="62" spans="1:16" s="168" customFormat="1">
      <c r="A62" s="164" t="s">
        <v>223</v>
      </c>
      <c r="B62" s="165">
        <v>46189</v>
      </c>
      <c r="C62" s="165">
        <v>46193</v>
      </c>
      <c r="D62" s="166" t="s">
        <v>224</v>
      </c>
      <c r="E62" s="166" t="s">
        <v>225</v>
      </c>
      <c r="F62" s="164" t="s">
        <v>61</v>
      </c>
      <c r="G62" s="164" t="s">
        <v>215</v>
      </c>
      <c r="H62" s="164" t="s">
        <v>62</v>
      </c>
      <c r="I62" s="164" t="s">
        <v>226</v>
      </c>
      <c r="J62" s="164">
        <v>62</v>
      </c>
      <c r="K62" s="164">
        <v>65100</v>
      </c>
      <c r="L62" s="167">
        <v>1660</v>
      </c>
      <c r="M62" s="164">
        <v>1000</v>
      </c>
      <c r="N62" s="167">
        <f t="shared" ref="N62:N68" si="18">K62*L62/M62</f>
        <v>108066</v>
      </c>
      <c r="O62" s="158">
        <f t="shared" ref="O62:P68" ca="1" si="19">$N$2-B62</f>
        <v>81.639763541665161</v>
      </c>
      <c r="P62" s="158">
        <f t="shared" ca="1" si="19"/>
        <v>77.639763541665161</v>
      </c>
    </row>
    <row r="63" spans="1:16" s="168" customFormat="1">
      <c r="A63" s="164" t="s">
        <v>70</v>
      </c>
      <c r="B63" s="165">
        <v>46261</v>
      </c>
      <c r="C63" s="165">
        <v>46265</v>
      </c>
      <c r="D63" s="166" t="s">
        <v>83</v>
      </c>
      <c r="E63" s="166" t="s">
        <v>84</v>
      </c>
      <c r="F63" s="164" t="s">
        <v>61</v>
      </c>
      <c r="G63" s="164" t="s">
        <v>85</v>
      </c>
      <c r="H63" s="164" t="s">
        <v>62</v>
      </c>
      <c r="I63" s="164" t="s">
        <v>231</v>
      </c>
      <c r="J63" s="164">
        <v>60</v>
      </c>
      <c r="K63" s="164">
        <v>63000</v>
      </c>
      <c r="L63" s="167">
        <v>1660</v>
      </c>
      <c r="M63" s="164">
        <v>1000</v>
      </c>
      <c r="N63" s="167">
        <f t="shared" si="18"/>
        <v>104580</v>
      </c>
      <c r="O63" s="158">
        <f t="shared" ca="1" si="19"/>
        <v>9.639763541665161</v>
      </c>
      <c r="P63" s="158">
        <f t="shared" ca="1" si="19"/>
        <v>5.639763541665161</v>
      </c>
    </row>
    <row r="64" spans="1:16" s="168" customFormat="1">
      <c r="A64" s="164" t="s">
        <v>70</v>
      </c>
      <c r="B64" s="165">
        <v>46261</v>
      </c>
      <c r="C64" s="165">
        <v>46265</v>
      </c>
      <c r="D64" s="166" t="s">
        <v>88</v>
      </c>
      <c r="E64" s="166" t="s">
        <v>89</v>
      </c>
      <c r="F64" s="164" t="s">
        <v>61</v>
      </c>
      <c r="G64" s="164" t="s">
        <v>77</v>
      </c>
      <c r="H64" s="164" t="s">
        <v>62</v>
      </c>
      <c r="I64" s="164" t="s">
        <v>232</v>
      </c>
      <c r="J64" s="164">
        <v>56</v>
      </c>
      <c r="K64" s="164">
        <v>58800</v>
      </c>
      <c r="L64" s="167">
        <v>1660</v>
      </c>
      <c r="M64" s="164">
        <v>1000</v>
      </c>
      <c r="N64" s="167">
        <f t="shared" si="18"/>
        <v>97608</v>
      </c>
      <c r="O64" s="158">
        <f t="shared" ca="1" si="19"/>
        <v>9.639763541665161</v>
      </c>
      <c r="P64" s="158">
        <f t="shared" ca="1" si="19"/>
        <v>5.639763541665161</v>
      </c>
    </row>
    <row r="65" spans="1:16" s="168" customFormat="1">
      <c r="A65" s="164" t="s">
        <v>71</v>
      </c>
      <c r="B65" s="165">
        <v>46263</v>
      </c>
      <c r="C65" s="165">
        <v>46266</v>
      </c>
      <c r="D65" s="166" t="s">
        <v>83</v>
      </c>
      <c r="E65" s="166" t="s">
        <v>84</v>
      </c>
      <c r="F65" s="164" t="s">
        <v>61</v>
      </c>
      <c r="G65" s="164" t="s">
        <v>85</v>
      </c>
      <c r="H65" s="164" t="s">
        <v>62</v>
      </c>
      <c r="I65" s="164" t="s">
        <v>107</v>
      </c>
      <c r="J65" s="164">
        <v>59</v>
      </c>
      <c r="K65" s="164">
        <v>61950</v>
      </c>
      <c r="L65" s="167">
        <v>1660</v>
      </c>
      <c r="M65" s="164">
        <v>1000</v>
      </c>
      <c r="N65" s="167">
        <f t="shared" si="18"/>
        <v>102837</v>
      </c>
      <c r="O65" s="158">
        <f t="shared" ca="1" si="19"/>
        <v>7.639763541665161</v>
      </c>
      <c r="P65" s="158">
        <f t="shared" ca="1" si="19"/>
        <v>4.639763541665161</v>
      </c>
    </row>
    <row r="66" spans="1:16" s="168" customFormat="1">
      <c r="A66" s="164" t="s">
        <v>71</v>
      </c>
      <c r="B66" s="165">
        <v>46263</v>
      </c>
      <c r="C66" s="165">
        <v>46266</v>
      </c>
      <c r="D66" s="166" t="s">
        <v>88</v>
      </c>
      <c r="E66" s="166" t="s">
        <v>89</v>
      </c>
      <c r="F66" s="164" t="s">
        <v>61</v>
      </c>
      <c r="G66" s="164" t="s">
        <v>77</v>
      </c>
      <c r="H66" s="164" t="s">
        <v>62</v>
      </c>
      <c r="I66" s="164" t="s">
        <v>109</v>
      </c>
      <c r="J66" s="164">
        <v>57</v>
      </c>
      <c r="K66" s="164">
        <v>59850</v>
      </c>
      <c r="L66" s="167">
        <v>1660</v>
      </c>
      <c r="M66" s="164">
        <v>1000</v>
      </c>
      <c r="N66" s="167">
        <f t="shared" si="18"/>
        <v>99351</v>
      </c>
      <c r="O66" s="158">
        <f t="shared" ca="1" si="19"/>
        <v>7.639763541665161</v>
      </c>
      <c r="P66" s="158">
        <f t="shared" ca="1" si="19"/>
        <v>4.639763541665161</v>
      </c>
    </row>
    <row r="67" spans="1:16" s="168" customFormat="1">
      <c r="A67" s="164" t="s">
        <v>71</v>
      </c>
      <c r="B67" s="165">
        <v>46263</v>
      </c>
      <c r="C67" s="165">
        <v>46266</v>
      </c>
      <c r="D67" s="166" t="s">
        <v>93</v>
      </c>
      <c r="E67" s="166" t="s">
        <v>94</v>
      </c>
      <c r="F67" s="164" t="s">
        <v>61</v>
      </c>
      <c r="G67" s="164" t="s">
        <v>95</v>
      </c>
      <c r="H67" s="164" t="s">
        <v>62</v>
      </c>
      <c r="I67" s="164" t="s">
        <v>111</v>
      </c>
      <c r="J67" s="164">
        <v>42</v>
      </c>
      <c r="K67" s="164">
        <v>44100</v>
      </c>
      <c r="L67" s="167">
        <v>1660</v>
      </c>
      <c r="M67" s="164">
        <v>1000</v>
      </c>
      <c r="N67" s="167">
        <f t="shared" si="18"/>
        <v>73206</v>
      </c>
      <c r="O67" s="158">
        <f t="shared" ca="1" si="19"/>
        <v>7.639763541665161</v>
      </c>
      <c r="P67" s="158">
        <f t="shared" ca="1" si="19"/>
        <v>4.639763541665161</v>
      </c>
    </row>
    <row r="68" spans="1:16" s="168" customFormat="1">
      <c r="A68" s="164" t="s">
        <v>71</v>
      </c>
      <c r="B68" s="165">
        <v>46263</v>
      </c>
      <c r="C68" s="165">
        <v>46266</v>
      </c>
      <c r="D68" s="166" t="s">
        <v>96</v>
      </c>
      <c r="E68" s="166" t="s">
        <v>97</v>
      </c>
      <c r="F68" s="164" t="s">
        <v>61</v>
      </c>
      <c r="G68" s="164" t="s">
        <v>82</v>
      </c>
      <c r="H68" s="164" t="s">
        <v>62</v>
      </c>
      <c r="I68" s="164" t="s">
        <v>112</v>
      </c>
      <c r="J68" s="164">
        <v>60</v>
      </c>
      <c r="K68" s="164">
        <v>63000</v>
      </c>
      <c r="L68" s="167">
        <v>1660</v>
      </c>
      <c r="M68" s="164">
        <v>1000</v>
      </c>
      <c r="N68" s="167">
        <f t="shared" si="18"/>
        <v>104580</v>
      </c>
      <c r="O68" s="158">
        <f t="shared" ca="1" si="19"/>
        <v>7.639763541665161</v>
      </c>
      <c r="P68" s="158">
        <f t="shared" ca="1" si="19"/>
        <v>4.639763541665161</v>
      </c>
    </row>
    <row r="69" spans="1:16">
      <c r="A69" s="155"/>
      <c r="B69" s="156"/>
      <c r="C69" s="156"/>
      <c r="D69" s="30"/>
      <c r="E69" s="30"/>
      <c r="F69" s="155"/>
      <c r="G69" s="155"/>
      <c r="H69" s="155"/>
      <c r="I69" s="155"/>
      <c r="J69" s="155"/>
      <c r="K69" s="155"/>
      <c r="L69" s="157"/>
      <c r="M69" s="164"/>
      <c r="N69" s="167"/>
      <c r="O69" s="175"/>
      <c r="P69" s="175"/>
    </row>
    <row r="70" spans="1:16" ht="18.75">
      <c r="A70" s="159" t="s">
        <v>157</v>
      </c>
      <c r="B70" s="160"/>
      <c r="C70" s="160"/>
      <c r="D70" s="160"/>
      <c r="E70" s="160"/>
      <c r="F70" s="160"/>
      <c r="G70" s="160"/>
      <c r="H70" s="160"/>
      <c r="I70" s="161"/>
      <c r="J70" s="162">
        <f>SUM(J62:J69)</f>
        <v>396</v>
      </c>
      <c r="K70" s="162">
        <f>SUM(K62:K69)</f>
        <v>415800</v>
      </c>
      <c r="L70" s="163"/>
      <c r="M70" s="162"/>
      <c r="N70" s="163">
        <f>SUM(N62:N69)</f>
        <v>690228</v>
      </c>
      <c r="O70" s="158"/>
      <c r="P70" s="158"/>
    </row>
    <row r="71" spans="1:16" s="168" customFormat="1">
      <c r="A71" s="164" t="s">
        <v>70</v>
      </c>
      <c r="B71" s="165">
        <v>46261</v>
      </c>
      <c r="C71" s="165">
        <v>46265</v>
      </c>
      <c r="D71" s="166" t="s">
        <v>239</v>
      </c>
      <c r="E71" s="166" t="s">
        <v>240</v>
      </c>
      <c r="F71" s="164" t="s">
        <v>61</v>
      </c>
      <c r="G71" s="164" t="s">
        <v>77</v>
      </c>
      <c r="H71" s="164" t="s">
        <v>62</v>
      </c>
      <c r="I71" s="164" t="s">
        <v>241</v>
      </c>
      <c r="J71" s="164">
        <v>61</v>
      </c>
      <c r="K71" s="164">
        <v>42700</v>
      </c>
      <c r="L71" s="167">
        <v>2336</v>
      </c>
      <c r="M71" s="164">
        <v>1000</v>
      </c>
      <c r="N71" s="167">
        <f t="shared" ref="N71:N72" si="20">K71*L71/M71</f>
        <v>99747.199999999997</v>
      </c>
      <c r="O71" s="158">
        <f t="shared" ref="O71:P72" ca="1" si="21">$N$2-B71</f>
        <v>9.639763541665161</v>
      </c>
      <c r="P71" s="158">
        <f t="shared" ca="1" si="21"/>
        <v>5.639763541665161</v>
      </c>
    </row>
    <row r="72" spans="1:16" s="168" customFormat="1">
      <c r="A72" s="164" t="s">
        <v>71</v>
      </c>
      <c r="B72" s="165">
        <v>46263</v>
      </c>
      <c r="C72" s="165">
        <v>46266</v>
      </c>
      <c r="D72" s="166" t="s">
        <v>86</v>
      </c>
      <c r="E72" s="166" t="s">
        <v>87</v>
      </c>
      <c r="F72" s="164" t="s">
        <v>61</v>
      </c>
      <c r="G72" s="164" t="s">
        <v>85</v>
      </c>
      <c r="H72" s="164" t="s">
        <v>62</v>
      </c>
      <c r="I72" s="164" t="s">
        <v>108</v>
      </c>
      <c r="J72" s="164">
        <v>63</v>
      </c>
      <c r="K72" s="164">
        <v>44100</v>
      </c>
      <c r="L72" s="167">
        <v>2336</v>
      </c>
      <c r="M72" s="164">
        <v>1000</v>
      </c>
      <c r="N72" s="167">
        <f t="shared" si="20"/>
        <v>103017.60000000001</v>
      </c>
      <c r="O72" s="158">
        <f t="shared" ca="1" si="21"/>
        <v>7.639763541665161</v>
      </c>
      <c r="P72" s="158">
        <f t="shared" ca="1" si="21"/>
        <v>4.639763541665161</v>
      </c>
    </row>
    <row r="73" spans="1:16">
      <c r="A73" s="155"/>
      <c r="B73" s="156"/>
      <c r="C73" s="156"/>
      <c r="D73" s="30"/>
      <c r="E73" s="30"/>
      <c r="F73" s="155"/>
      <c r="G73" s="155"/>
      <c r="H73" s="155"/>
      <c r="I73" s="155"/>
      <c r="J73" s="155"/>
      <c r="K73" s="155"/>
      <c r="L73" s="157"/>
      <c r="M73" s="164"/>
      <c r="N73" s="167"/>
      <c r="O73" s="175"/>
      <c r="P73" s="175"/>
    </row>
    <row r="74" spans="1:16" ht="18.75">
      <c r="A74" s="159" t="s">
        <v>157</v>
      </c>
      <c r="B74" s="160"/>
      <c r="C74" s="160"/>
      <c r="D74" s="160"/>
      <c r="E74" s="160"/>
      <c r="F74" s="160"/>
      <c r="G74" s="160"/>
      <c r="H74" s="160"/>
      <c r="I74" s="161"/>
      <c r="J74" s="162">
        <f>SUM(J71:J73)</f>
        <v>124</v>
      </c>
      <c r="K74" s="162">
        <f>SUM(K71:K73)</f>
        <v>86800</v>
      </c>
      <c r="L74" s="163"/>
      <c r="M74" s="162"/>
      <c r="N74" s="162">
        <f>SUM(N71:N73)</f>
        <v>202764.79999999999</v>
      </c>
      <c r="O74" s="158"/>
      <c r="P74" s="158"/>
    </row>
    <row r="75" spans="1:16">
      <c r="B75" s="1"/>
      <c r="C75" s="1"/>
      <c r="K75" s="183"/>
    </row>
    <row r="76" spans="1:16">
      <c r="K76" s="183"/>
    </row>
    <row r="77" spans="1:16">
      <c r="B77" s="1"/>
      <c r="C77" s="1"/>
      <c r="K77" s="183"/>
    </row>
  </sheetData>
  <conditionalFormatting sqref="O66:P119 O5:P64">
    <cfRule type="cellIs" dxfId="107" priority="106" operator="between">
      <formula>150</formula>
      <formula>170</formula>
    </cfRule>
    <cfRule type="cellIs" dxfId="106" priority="107" operator="lessThan">
      <formula>150</formula>
    </cfRule>
    <cfRule type="cellIs" dxfId="105" priority="108" operator="greaterThan">
      <formula>170</formula>
    </cfRule>
  </conditionalFormatting>
  <conditionalFormatting sqref="O61:P114 O5:P59">
    <cfRule type="cellIs" dxfId="104" priority="103" operator="between">
      <formula>150</formula>
      <formula>170</formula>
    </cfRule>
    <cfRule type="cellIs" dxfId="103" priority="104" operator="lessThan">
      <formula>150</formula>
    </cfRule>
    <cfRule type="cellIs" dxfId="102" priority="105" operator="greaterThan">
      <formula>170</formula>
    </cfRule>
  </conditionalFormatting>
  <conditionalFormatting sqref="O5:O191">
    <cfRule type="cellIs" dxfId="101" priority="100" operator="between">
      <formula>150</formula>
      <formula>170</formula>
    </cfRule>
    <cfRule type="cellIs" dxfId="100" priority="101" operator="lessThan">
      <formula>150</formula>
    </cfRule>
    <cfRule type="cellIs" dxfId="99" priority="102" operator="greaterThan">
      <formula>170</formula>
    </cfRule>
  </conditionalFormatting>
  <conditionalFormatting sqref="O79:O134 O5:O77">
    <cfRule type="cellIs" dxfId="98" priority="97" operator="between">
      <formula>150</formula>
      <formula>170</formula>
    </cfRule>
    <cfRule type="cellIs" dxfId="97" priority="98" operator="lessThan">
      <formula>150</formula>
    </cfRule>
    <cfRule type="cellIs" dxfId="96" priority="99" operator="greaterThan">
      <formula>170</formula>
    </cfRule>
  </conditionalFormatting>
  <conditionalFormatting sqref="O79:O134 O5:O77">
    <cfRule type="cellIs" dxfId="95" priority="94" operator="between">
      <formula>150</formula>
      <formula>170</formula>
    </cfRule>
    <cfRule type="cellIs" dxfId="94" priority="95" operator="lessThan">
      <formula>150</formula>
    </cfRule>
    <cfRule type="cellIs" dxfId="93" priority="96" operator="greaterThan">
      <formula>170</formula>
    </cfRule>
  </conditionalFormatting>
  <conditionalFormatting sqref="O76:O131 O5:O74">
    <cfRule type="cellIs" dxfId="92" priority="91" operator="between">
      <formula>150</formula>
      <formula>170</formula>
    </cfRule>
    <cfRule type="cellIs" dxfId="91" priority="92" operator="lessThan">
      <formula>150</formula>
    </cfRule>
    <cfRule type="cellIs" dxfId="90" priority="93" operator="greaterThan">
      <formula>170</formula>
    </cfRule>
  </conditionalFormatting>
  <conditionalFormatting sqref="O81:O136 O5:O79">
    <cfRule type="cellIs" dxfId="89" priority="88" operator="between">
      <formula>150</formula>
      <formula>170</formula>
    </cfRule>
    <cfRule type="cellIs" dxfId="88" priority="89" operator="lessThan">
      <formula>150</formula>
    </cfRule>
    <cfRule type="cellIs" dxfId="87" priority="90" operator="greaterThan">
      <formula>170</formula>
    </cfRule>
  </conditionalFormatting>
  <conditionalFormatting sqref="P5:P79 P81:P136">
    <cfRule type="cellIs" dxfId="86" priority="85" operator="between">
      <formula>150</formula>
      <formula>170</formula>
    </cfRule>
    <cfRule type="cellIs" dxfId="85" priority="86" operator="lessThan">
      <formula>150</formula>
    </cfRule>
    <cfRule type="cellIs" dxfId="84" priority="87" operator="greaterThan">
      <formula>170</formula>
    </cfRule>
  </conditionalFormatting>
  <conditionalFormatting sqref="O5:P79 O81:P136">
    <cfRule type="cellIs" dxfId="83" priority="82" operator="between">
      <formula>150</formula>
      <formula>170</formula>
    </cfRule>
    <cfRule type="cellIs" dxfId="82" priority="83" operator="lessThan">
      <formula>150</formula>
    </cfRule>
    <cfRule type="cellIs" dxfId="81" priority="84" operator="greaterThan">
      <formula>170</formula>
    </cfRule>
  </conditionalFormatting>
  <conditionalFormatting sqref="O5:P79 O81:P136">
    <cfRule type="cellIs" dxfId="80" priority="79" operator="between">
      <formula>150</formula>
      <formula>170</formula>
    </cfRule>
    <cfRule type="cellIs" dxfId="79" priority="80" operator="lessThan">
      <formula>150</formula>
    </cfRule>
    <cfRule type="cellIs" dxfId="78" priority="81" operator="greaterThan">
      <formula>170</formula>
    </cfRule>
  </conditionalFormatting>
  <conditionalFormatting sqref="O5:P79 O81:P135">
    <cfRule type="cellIs" dxfId="77" priority="76" operator="between">
      <formula>150</formula>
      <formula>170</formula>
    </cfRule>
    <cfRule type="cellIs" dxfId="76" priority="77" operator="lessThan">
      <formula>150</formula>
    </cfRule>
    <cfRule type="cellIs" dxfId="75" priority="78" operator="greaterThan">
      <formula>170</formula>
    </cfRule>
  </conditionalFormatting>
  <conditionalFormatting sqref="O84:P138 O5:P82">
    <cfRule type="cellIs" dxfId="74" priority="73" operator="between">
      <formula>150</formula>
      <formula>170</formula>
    </cfRule>
    <cfRule type="cellIs" dxfId="73" priority="74" operator="lessThan">
      <formula>150</formula>
    </cfRule>
    <cfRule type="cellIs" dxfId="72" priority="75" operator="greaterThan">
      <formula>170</formula>
    </cfRule>
  </conditionalFormatting>
  <conditionalFormatting sqref="O90:P144 O5:P88">
    <cfRule type="cellIs" dxfId="71" priority="70" operator="between">
      <formula>150</formula>
      <formula>170</formula>
    </cfRule>
    <cfRule type="cellIs" dxfId="70" priority="71" operator="lessThan">
      <formula>150</formula>
    </cfRule>
    <cfRule type="cellIs" dxfId="69" priority="72" operator="greaterThan">
      <formula>170</formula>
    </cfRule>
  </conditionalFormatting>
  <conditionalFormatting sqref="O96:P149 O5:P94">
    <cfRule type="cellIs" dxfId="68" priority="67" operator="between">
      <formula>150</formula>
      <formula>170</formula>
    </cfRule>
    <cfRule type="cellIs" dxfId="67" priority="68" operator="lessThan">
      <formula>150</formula>
    </cfRule>
    <cfRule type="cellIs" dxfId="66" priority="69" operator="greaterThan">
      <formula>170</formula>
    </cfRule>
  </conditionalFormatting>
  <conditionalFormatting sqref="O88:P141 O5:P86">
    <cfRule type="cellIs" dxfId="65" priority="64" operator="between">
      <formula>150</formula>
      <formula>170</formula>
    </cfRule>
    <cfRule type="cellIs" dxfId="64" priority="65" operator="lessThan">
      <formula>150</formula>
    </cfRule>
    <cfRule type="cellIs" dxfId="63" priority="66" operator="greaterThan">
      <formula>170</formula>
    </cfRule>
  </conditionalFormatting>
  <conditionalFormatting sqref="O96:P151 O5:P94">
    <cfRule type="cellIs" dxfId="62" priority="61" operator="between">
      <formula>150</formula>
      <formula>170</formula>
    </cfRule>
    <cfRule type="cellIs" dxfId="61" priority="62" operator="lessThan">
      <formula>150</formula>
    </cfRule>
    <cfRule type="cellIs" dxfId="60" priority="63" operator="greaterThan">
      <formula>170</formula>
    </cfRule>
  </conditionalFormatting>
  <conditionalFormatting sqref="O96:P151 O5:P94">
    <cfRule type="cellIs" dxfId="59" priority="58" operator="between">
      <formula>150</formula>
      <formula>170</formula>
    </cfRule>
    <cfRule type="cellIs" dxfId="58" priority="59" operator="lessThan">
      <formula>150</formula>
    </cfRule>
    <cfRule type="cellIs" dxfId="57" priority="60" operator="greaterThan">
      <formula>170</formula>
    </cfRule>
  </conditionalFormatting>
  <conditionalFormatting sqref="O93:P148 O5:P91">
    <cfRule type="cellIs" dxfId="56" priority="55" operator="between">
      <formula>150</formula>
      <formula>170</formula>
    </cfRule>
    <cfRule type="cellIs" dxfId="55" priority="56" operator="lessThan">
      <formula>150</formula>
    </cfRule>
    <cfRule type="cellIs" dxfId="54" priority="57" operator="greaterThan">
      <formula>170</formula>
    </cfRule>
  </conditionalFormatting>
  <conditionalFormatting sqref="O93:P148 O5:P91">
    <cfRule type="cellIs" dxfId="53" priority="52" operator="between">
      <formula>150</formula>
      <formula>170</formula>
    </cfRule>
    <cfRule type="cellIs" dxfId="52" priority="53" operator="lessThan">
      <formula>150</formula>
    </cfRule>
    <cfRule type="cellIs" dxfId="51" priority="54" operator="greaterThan">
      <formula>170</formula>
    </cfRule>
  </conditionalFormatting>
  <conditionalFormatting sqref="O93:P148 O5:P91">
    <cfRule type="cellIs" dxfId="50" priority="49" operator="between">
      <formula>150</formula>
      <formula>170</formula>
    </cfRule>
    <cfRule type="cellIs" dxfId="49" priority="50" operator="lessThan">
      <formula>150</formula>
    </cfRule>
    <cfRule type="cellIs" dxfId="48" priority="51" operator="greaterThan">
      <formula>170</formula>
    </cfRule>
  </conditionalFormatting>
  <conditionalFormatting sqref="O92:P145 O5:P90">
    <cfRule type="cellIs" dxfId="47" priority="46" operator="between">
      <formula>150</formula>
      <formula>170</formula>
    </cfRule>
    <cfRule type="cellIs" dxfId="46" priority="47" operator="lessThan">
      <formula>150</formula>
    </cfRule>
    <cfRule type="cellIs" dxfId="45" priority="48" operator="greaterThan">
      <formula>170</formula>
    </cfRule>
  </conditionalFormatting>
  <conditionalFormatting sqref="O89:P142 O5:P87">
    <cfRule type="cellIs" dxfId="44" priority="43" operator="between">
      <formula>150</formula>
      <formula>170</formula>
    </cfRule>
    <cfRule type="cellIs" dxfId="43" priority="44" operator="lessThan">
      <formula>150</formula>
    </cfRule>
    <cfRule type="cellIs" dxfId="42" priority="45" operator="greaterThan">
      <formula>170</formula>
    </cfRule>
  </conditionalFormatting>
  <conditionalFormatting sqref="O5:P91 O93:P147">
    <cfRule type="cellIs" dxfId="41" priority="40" operator="between">
      <formula>150</formula>
      <formula>170</formula>
    </cfRule>
    <cfRule type="cellIs" dxfId="40" priority="41" operator="lessThan">
      <formula>150</formula>
    </cfRule>
    <cfRule type="cellIs" dxfId="39" priority="42" operator="greaterThan">
      <formula>170</formula>
    </cfRule>
  </conditionalFormatting>
  <conditionalFormatting sqref="O95:P147 O5:P93">
    <cfRule type="cellIs" dxfId="38" priority="37" operator="between">
      <formula>150</formula>
      <formula>170</formula>
    </cfRule>
    <cfRule type="cellIs" dxfId="37" priority="38" operator="lessThan">
      <formula>150</formula>
    </cfRule>
    <cfRule type="cellIs" dxfId="36" priority="39" operator="greaterThan">
      <formula>170</formula>
    </cfRule>
  </conditionalFormatting>
  <conditionalFormatting sqref="O93:P145 O5:P91">
    <cfRule type="cellIs" dxfId="35" priority="34" operator="between">
      <formula>150</formula>
      <formula>170</formula>
    </cfRule>
    <cfRule type="cellIs" dxfId="34" priority="35" operator="lessThan">
      <formula>150</formula>
    </cfRule>
    <cfRule type="cellIs" dxfId="33" priority="36" operator="greaterThan">
      <formula>170</formula>
    </cfRule>
  </conditionalFormatting>
  <conditionalFormatting sqref="O93:P145 O5:P91">
    <cfRule type="cellIs" dxfId="32" priority="31" operator="between">
      <formula>150</formula>
      <formula>170</formula>
    </cfRule>
    <cfRule type="cellIs" dxfId="31" priority="32" operator="lessThan">
      <formula>150</formula>
    </cfRule>
    <cfRule type="cellIs" dxfId="30" priority="33" operator="greaterThan">
      <formula>170</formula>
    </cfRule>
  </conditionalFormatting>
  <conditionalFormatting sqref="O93:P143 O5:P91">
    <cfRule type="cellIs" dxfId="29" priority="28" operator="between">
      <formula>150</formula>
      <formula>170</formula>
    </cfRule>
    <cfRule type="cellIs" dxfId="28" priority="29" operator="lessThan">
      <formula>150</formula>
    </cfRule>
    <cfRule type="cellIs" dxfId="27" priority="30" operator="greaterThan">
      <formula>170</formula>
    </cfRule>
  </conditionalFormatting>
  <conditionalFormatting sqref="O5:P93 O95:P146">
    <cfRule type="cellIs" dxfId="26" priority="25" operator="between">
      <formula>150</formula>
      <formula>170</formula>
    </cfRule>
    <cfRule type="cellIs" dxfId="25" priority="26" operator="lessThan">
      <formula>150</formula>
    </cfRule>
    <cfRule type="cellIs" dxfId="24" priority="27" operator="greaterThan">
      <formula>170</formula>
    </cfRule>
  </conditionalFormatting>
  <conditionalFormatting sqref="O91:P142 O5:P89">
    <cfRule type="cellIs" dxfId="23" priority="22" operator="between">
      <formula>150</formula>
      <formula>170</formula>
    </cfRule>
    <cfRule type="cellIs" dxfId="22" priority="23" operator="lessThan">
      <formula>150</formula>
    </cfRule>
    <cfRule type="cellIs" dxfId="21" priority="24" operator="greaterThan">
      <formula>170</formula>
    </cfRule>
  </conditionalFormatting>
  <conditionalFormatting sqref="O87:P138 O5:P85">
    <cfRule type="cellIs" dxfId="20" priority="19" operator="between">
      <formula>150</formula>
      <formula>170</formula>
    </cfRule>
    <cfRule type="cellIs" dxfId="19" priority="20" operator="lessThan">
      <formula>150</formula>
    </cfRule>
    <cfRule type="cellIs" dxfId="18" priority="21" operator="greaterThan">
      <formula>170</formula>
    </cfRule>
  </conditionalFormatting>
  <conditionalFormatting sqref="O89:P146 O5:P87">
    <cfRule type="cellIs" dxfId="17" priority="16" operator="between">
      <formula>150</formula>
      <formula>170</formula>
    </cfRule>
    <cfRule type="cellIs" dxfId="16" priority="17" operator="lessThan">
      <formula>150</formula>
    </cfRule>
    <cfRule type="cellIs" dxfId="15" priority="18" operator="greaterThan">
      <formula>170</formula>
    </cfRule>
  </conditionalFormatting>
  <conditionalFormatting sqref="O5:P57 O59:P107">
    <cfRule type="cellIs" dxfId="14" priority="13" operator="between">
      <formula>150</formula>
      <formula>170</formula>
    </cfRule>
    <cfRule type="cellIs" dxfId="13" priority="14" operator="lessThan">
      <formula>150</formula>
    </cfRule>
    <cfRule type="cellIs" dxfId="12" priority="15" operator="greaterThan">
      <formula>170</formula>
    </cfRule>
  </conditionalFormatting>
  <conditionalFormatting sqref="O66:P119 O5:P64">
    <cfRule type="cellIs" dxfId="11" priority="10" operator="between">
      <formula>150</formula>
      <formula>170</formula>
    </cfRule>
    <cfRule type="cellIs" dxfId="10" priority="11" operator="lessThan">
      <formula>150</formula>
    </cfRule>
    <cfRule type="cellIs" dxfId="9" priority="12" operator="greaterThan">
      <formula>170</formula>
    </cfRule>
  </conditionalFormatting>
  <conditionalFormatting sqref="O61:P114 O5:P59">
    <cfRule type="cellIs" dxfId="8" priority="7" operator="between">
      <formula>150</formula>
      <formula>170</formula>
    </cfRule>
    <cfRule type="cellIs" dxfId="7" priority="8" operator="lessThan">
      <formula>150</formula>
    </cfRule>
    <cfRule type="cellIs" dxfId="6" priority="9" operator="greaterThan">
      <formula>170</formula>
    </cfRule>
  </conditionalFormatting>
  <conditionalFormatting sqref="O61:P114 O5:P59">
    <cfRule type="cellIs" dxfId="5" priority="4" operator="between">
      <formula>150</formula>
      <formula>170</formula>
    </cfRule>
    <cfRule type="cellIs" dxfId="4" priority="5" operator="lessThan">
      <formula>150</formula>
    </cfRule>
    <cfRule type="cellIs" dxfId="3" priority="6" operator="greaterThan">
      <formula>170</formula>
    </cfRule>
  </conditionalFormatting>
  <conditionalFormatting sqref="O61:P110 O5:P59">
    <cfRule type="cellIs" dxfId="2" priority="1" operator="between">
      <formula>150</formula>
      <formula>170</formula>
    </cfRule>
    <cfRule type="cellIs" dxfId="1" priority="2" operator="lessThan">
      <formula>150</formula>
    </cfRule>
    <cfRule type="cellIs" dxfId="0" priority="3" operator="greaterThan">
      <formula>170</formula>
    </cfRule>
  </conditionalFormatting>
  <dataValidations count="1">
    <dataValidation type="textLength" allowBlank="1" showInputMessage="1" showErrorMessage="1" sqref="I71:I73 I62:I69 I54:I60 I51:I52 I48:I49 I45:I46 I31:I32 I34:I43 I17:I18 I14:I15 I11:I12 I28:I29 I20:I26 I8:I9">
      <formula1>1</formula1>
      <formula2>10</formula2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W10"/>
  <sheetViews>
    <sheetView workbookViewId="0">
      <selection activeCell="J5" sqref="J5"/>
    </sheetView>
  </sheetViews>
  <sheetFormatPr defaultColWidth="9.85546875" defaultRowHeight="12.75"/>
  <cols>
    <col min="1" max="1" width="9.85546875" style="31"/>
    <col min="2" max="2" width="13.5703125" style="31" bestFit="1" customWidth="1"/>
    <col min="3" max="3" width="10.140625" style="31" bestFit="1" customWidth="1"/>
    <col min="4" max="4" width="10.140625" style="31" customWidth="1"/>
    <col min="5" max="5" width="22.140625" style="31" bestFit="1" customWidth="1"/>
    <col min="6" max="6" width="42.85546875" style="31" bestFit="1" customWidth="1"/>
    <col min="7" max="7" width="8.42578125" style="31" customWidth="1"/>
    <col min="8" max="9" width="9.85546875" style="31"/>
    <col min="10" max="10" width="10.85546875" style="31" bestFit="1" customWidth="1"/>
    <col min="11" max="11" width="14.7109375" style="31" bestFit="1" customWidth="1"/>
    <col min="12" max="12" width="13.28515625" style="47" customWidth="1"/>
    <col min="13" max="14" width="9.85546875" style="36"/>
    <col min="15" max="18" width="9.85546875" style="31"/>
    <col min="19" max="19" width="12.7109375" style="31" bestFit="1" customWidth="1"/>
    <col min="20" max="20" width="10.140625" style="31" bestFit="1" customWidth="1"/>
    <col min="21" max="16384" width="9.85546875" style="31"/>
  </cols>
  <sheetData>
    <row r="2" spans="2:23" ht="15.75">
      <c r="B2" s="119" t="s">
        <v>37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</row>
    <row r="3" spans="2:23" ht="15.75">
      <c r="B3" s="32"/>
      <c r="C3" s="32"/>
      <c r="D3" s="32"/>
      <c r="E3" s="33"/>
      <c r="F3" s="33"/>
      <c r="G3" s="33"/>
      <c r="H3" s="33"/>
      <c r="I3" s="33"/>
      <c r="J3" s="33"/>
      <c r="K3" s="33"/>
      <c r="L3" s="34"/>
      <c r="M3" s="35"/>
      <c r="O3" s="33"/>
      <c r="P3" s="33"/>
      <c r="Q3" s="33"/>
      <c r="R3" s="33"/>
      <c r="S3" s="33"/>
      <c r="T3" s="33"/>
      <c r="U3" s="33"/>
      <c r="V3" s="33"/>
      <c r="W3" s="33"/>
    </row>
    <row r="4" spans="2:23" s="37" customFormat="1" ht="66" customHeight="1">
      <c r="B4" s="38" t="s">
        <v>38</v>
      </c>
      <c r="C4" s="38" t="s">
        <v>1</v>
      </c>
      <c r="D4" s="38"/>
      <c r="E4" s="38" t="s">
        <v>2</v>
      </c>
      <c r="F4" s="38" t="s">
        <v>39</v>
      </c>
      <c r="G4" s="38"/>
      <c r="H4" s="38" t="s">
        <v>40</v>
      </c>
      <c r="I4" s="38" t="s">
        <v>0</v>
      </c>
      <c r="J4" s="38" t="s">
        <v>3</v>
      </c>
      <c r="K4" s="38" t="s">
        <v>52</v>
      </c>
      <c r="L4" s="38" t="s">
        <v>41</v>
      </c>
      <c r="M4" s="39" t="s">
        <v>42</v>
      </c>
      <c r="N4" s="39" t="s">
        <v>43</v>
      </c>
      <c r="O4" s="38" t="s">
        <v>44</v>
      </c>
      <c r="P4" s="40" t="s">
        <v>45</v>
      </c>
      <c r="Q4" s="40" t="s">
        <v>46</v>
      </c>
      <c r="R4" s="38" t="s">
        <v>47</v>
      </c>
      <c r="S4" s="38" t="s">
        <v>48</v>
      </c>
      <c r="T4" s="38" t="s">
        <v>49</v>
      </c>
      <c r="U4" s="38" t="s">
        <v>50</v>
      </c>
      <c r="V4" s="38" t="s">
        <v>49</v>
      </c>
      <c r="W4" s="38" t="s">
        <v>51</v>
      </c>
    </row>
    <row r="5" spans="2:23">
      <c r="B5" s="41" t="s">
        <v>66</v>
      </c>
      <c r="C5" s="42">
        <v>46217</v>
      </c>
      <c r="D5" s="42"/>
      <c r="E5" s="33" t="s">
        <v>63</v>
      </c>
      <c r="F5" s="33" t="s">
        <v>64</v>
      </c>
      <c r="G5" s="33" t="s">
        <v>61</v>
      </c>
      <c r="H5" s="30" t="s">
        <v>65</v>
      </c>
      <c r="I5" s="33" t="s">
        <v>62</v>
      </c>
      <c r="J5" s="33" t="s">
        <v>67</v>
      </c>
      <c r="K5" s="53">
        <v>7</v>
      </c>
      <c r="L5" s="33">
        <f>7*3200</f>
        <v>22400</v>
      </c>
      <c r="M5" s="114">
        <v>0.56799999999999995</v>
      </c>
      <c r="N5" s="114">
        <v>0.56799999999999995</v>
      </c>
      <c r="O5" s="35">
        <f>+L5*M5</f>
        <v>12723.199999999999</v>
      </c>
      <c r="P5" s="35">
        <f>+O5*9%</f>
        <v>1145.088</v>
      </c>
      <c r="Q5" s="35">
        <f>+O5*9%</f>
        <v>1145.088</v>
      </c>
      <c r="R5" s="35">
        <f>+O5+P5+Q5</f>
        <v>15013.375999999998</v>
      </c>
      <c r="S5" s="30"/>
      <c r="T5" s="43"/>
      <c r="U5" s="33"/>
      <c r="V5" s="33"/>
      <c r="W5" s="44"/>
    </row>
    <row r="6" spans="2:23">
      <c r="B6" s="50"/>
      <c r="C6" s="51"/>
      <c r="D6" s="51"/>
      <c r="E6" s="52"/>
      <c r="F6" s="52"/>
      <c r="G6" s="52"/>
      <c r="H6" s="67"/>
      <c r="I6" s="52"/>
      <c r="J6" s="52"/>
      <c r="K6" s="53"/>
      <c r="L6" s="33"/>
      <c r="M6" s="35"/>
      <c r="N6" s="35"/>
      <c r="O6" s="35"/>
      <c r="P6" s="35"/>
      <c r="Q6" s="35"/>
      <c r="R6" s="35"/>
      <c r="S6" s="30"/>
      <c r="T6" s="43"/>
      <c r="U6" s="33"/>
      <c r="V6" s="33"/>
      <c r="W6" s="44"/>
    </row>
    <row r="7" spans="2:23">
      <c r="B7" s="196" t="s">
        <v>5</v>
      </c>
      <c r="C7" s="197"/>
      <c r="D7" s="197"/>
      <c r="E7" s="197"/>
      <c r="F7" s="197"/>
      <c r="G7" s="197"/>
      <c r="H7" s="197"/>
      <c r="I7" s="197"/>
      <c r="J7" s="197"/>
      <c r="K7" s="49"/>
      <c r="L7" s="45">
        <f>SUM(L5:L5)</f>
        <v>22400</v>
      </c>
      <c r="M7" s="46"/>
      <c r="N7" s="46"/>
      <c r="O7" s="46">
        <f>SUM(O5:O5)</f>
        <v>12723.199999999999</v>
      </c>
      <c r="P7" s="46">
        <f>SUM(P5:P5)</f>
        <v>1145.088</v>
      </c>
      <c r="Q7" s="46">
        <f>SUM(Q5:Q5)</f>
        <v>1145.088</v>
      </c>
      <c r="R7" s="46">
        <f>SUM(R5:R5)</f>
        <v>15013.375999999998</v>
      </c>
      <c r="S7" s="46"/>
      <c r="T7" s="46"/>
      <c r="U7" s="45"/>
      <c r="V7" s="45"/>
      <c r="W7" s="45"/>
    </row>
    <row r="8" spans="2:23">
      <c r="B8" s="50"/>
      <c r="C8" s="51"/>
      <c r="D8" s="42"/>
      <c r="E8" s="33"/>
      <c r="F8" s="33"/>
      <c r="G8" s="33"/>
      <c r="H8" s="30"/>
      <c r="I8" s="33"/>
      <c r="J8" s="33"/>
      <c r="K8" s="53"/>
      <c r="L8" s="33"/>
      <c r="M8" s="114"/>
      <c r="N8" s="114">
        <v>1.6359999999999999</v>
      </c>
      <c r="O8" s="35">
        <f>+L8*M8</f>
        <v>0</v>
      </c>
      <c r="P8" s="35">
        <f>+O8*9%</f>
        <v>0</v>
      </c>
      <c r="Q8" s="35">
        <f>+O8*9%</f>
        <v>0</v>
      </c>
      <c r="R8" s="35">
        <f>+O8+P8+Q8</f>
        <v>0</v>
      </c>
      <c r="S8" s="30"/>
      <c r="T8" s="43"/>
      <c r="U8" s="33"/>
      <c r="V8" s="33"/>
      <c r="W8" s="44"/>
    </row>
    <row r="9" spans="2:23">
      <c r="B9" s="50"/>
      <c r="C9" s="51"/>
      <c r="D9" s="51"/>
      <c r="E9" s="52"/>
      <c r="F9" s="52"/>
      <c r="G9" s="52"/>
      <c r="H9" s="67"/>
      <c r="I9" s="52"/>
      <c r="J9" s="52"/>
      <c r="K9" s="53"/>
      <c r="L9" s="33"/>
      <c r="M9" s="35"/>
      <c r="N9" s="35"/>
      <c r="O9" s="35"/>
      <c r="P9" s="35"/>
      <c r="Q9" s="35"/>
      <c r="R9" s="35"/>
      <c r="S9" s="30"/>
      <c r="T9" s="43"/>
      <c r="U9" s="33"/>
      <c r="V9" s="33"/>
      <c r="W9" s="44"/>
    </row>
    <row r="10" spans="2:23">
      <c r="B10" s="196" t="s">
        <v>5</v>
      </c>
      <c r="C10" s="197"/>
      <c r="D10" s="197"/>
      <c r="E10" s="197"/>
      <c r="F10" s="197"/>
      <c r="G10" s="197"/>
      <c r="H10" s="197"/>
      <c r="I10" s="197"/>
      <c r="J10" s="197"/>
      <c r="K10" s="49"/>
      <c r="L10" s="45">
        <f>SUM(L8:L9)</f>
        <v>0</v>
      </c>
      <c r="M10" s="46"/>
      <c r="N10" s="46"/>
      <c r="O10" s="45">
        <f t="shared" ref="O10:R10" si="0">SUM(O8:O9)</f>
        <v>0</v>
      </c>
      <c r="P10" s="45">
        <f t="shared" si="0"/>
        <v>0</v>
      </c>
      <c r="Q10" s="45">
        <f t="shared" si="0"/>
        <v>0</v>
      </c>
      <c r="R10" s="45">
        <f t="shared" si="0"/>
        <v>0</v>
      </c>
      <c r="S10" s="46"/>
      <c r="T10" s="46"/>
      <c r="U10" s="45"/>
      <c r="V10" s="45"/>
      <c r="W10" s="45"/>
    </row>
  </sheetData>
  <mergeCells count="2">
    <mergeCell ref="B7:J7"/>
    <mergeCell ref="B10:J10"/>
  </mergeCells>
  <hyperlinks>
    <hyperlink ref="Q4" r:id="rId1"/>
    <hyperlink ref="P4" r:id="rId2"/>
  </hyperlinks>
  <pageMargins left="0.70866141732283472" right="0.70866141732283472" top="0.74803149606299213" bottom="0.74803149606299213" header="0.31496062992125984" footer="0.31496062992125984"/>
  <pageSetup paperSize="9" scale="45" orientation="landscape" horizont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Receipt</vt:lpstr>
      <vt:lpstr>Total Sales</vt:lpstr>
      <vt:lpstr>SKF Stock</vt:lpstr>
      <vt:lpstr>Batch Wise Stock</vt:lpstr>
      <vt:lpstr>Rejection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Santhosh</cp:lastModifiedBy>
  <cp:lastPrinted>2026-06-16T09:15:19Z</cp:lastPrinted>
  <dcterms:created xsi:type="dcterms:W3CDTF">1996-10-14T23:33:00Z</dcterms:created>
  <dcterms:modified xsi:type="dcterms:W3CDTF">2026-09-05T09:52:23Z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1033-10.1.0.5507</vt:lpwstr>
  </property>
</Properties>
</file>