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19440" windowHeight="11160" tabRatio="667" activeTab="1"/>
  </bookViews>
  <sheets>
    <sheet name="Receipt" sheetId="1" r:id="rId1"/>
    <sheet name="SKF Sales" sheetId="13" r:id="rId2"/>
    <sheet name="SKF STOCK" sheetId="17" r:id="rId3"/>
    <sheet name="Manu Inv Wise Stock" sheetId="89" r:id="rId4"/>
    <sheet name="REJECTION DETAIL" sheetId="22" state="hidden" r:id="rId5"/>
    <sheet name="REJECTION DETAILS" sheetId="20" state="hidden" r:id="rId6"/>
  </sheets>
  <externalReferences>
    <externalReference r:id="rId7"/>
    <externalReference r:id="rId8"/>
    <externalReference r:id="rId9"/>
  </externalReferences>
  <definedNames>
    <definedName name="_xlnm._FilterDatabase" localSheetId="0" hidden="1">Receipt!$B$8:$Q$8</definedName>
    <definedName name="_xlnm._FilterDatabase" localSheetId="5" hidden="1">'REJECTION DETAILS'!$B$5:$Q$8</definedName>
    <definedName name="_xlnm._FilterDatabase" localSheetId="1" hidden="1">'SKF Sales'!$B$9:$P$9</definedName>
    <definedName name="MH_04_GC_1584" localSheetId="3">[1]Receipt!#REF!</definedName>
    <definedName name="MH_04_GC_1584" localSheetId="4">[2]Receipt!#REF!</definedName>
    <definedName name="MH_04_GC_1584">Receipt!#REF!</definedName>
  </definedNames>
  <calcPr calcId="125725"/>
</workbook>
</file>

<file path=xl/calcChain.xml><?xml version="1.0" encoding="utf-8"?>
<calcChain xmlns="http://schemas.openxmlformats.org/spreadsheetml/2006/main">
  <c r="H64" i="17"/>
  <c r="G64"/>
  <c r="I62"/>
  <c r="F62"/>
  <c r="E62"/>
  <c r="D62"/>
  <c r="I61"/>
  <c r="F61"/>
  <c r="E61"/>
  <c r="D61"/>
  <c r="I60"/>
  <c r="F60"/>
  <c r="E60"/>
  <c r="D60"/>
  <c r="I59"/>
  <c r="F59"/>
  <c r="E59"/>
  <c r="D59"/>
  <c r="I58"/>
  <c r="F58"/>
  <c r="E58"/>
  <c r="D58"/>
  <c r="I57"/>
  <c r="F57"/>
  <c r="E57"/>
  <c r="D57"/>
  <c r="I56"/>
  <c r="F56"/>
  <c r="E56"/>
  <c r="D56"/>
  <c r="I55"/>
  <c r="F55"/>
  <c r="E55"/>
  <c r="D55"/>
  <c r="I54"/>
  <c r="F54"/>
  <c r="E54"/>
  <c r="D54"/>
  <c r="I53"/>
  <c r="F53"/>
  <c r="E53"/>
  <c r="D53"/>
  <c r="I52"/>
  <c r="F52"/>
  <c r="E52"/>
  <c r="D52"/>
  <c r="I51"/>
  <c r="F51"/>
  <c r="E51"/>
  <c r="D51"/>
  <c r="I50"/>
  <c r="F50"/>
  <c r="E50"/>
  <c r="D50"/>
  <c r="I49"/>
  <c r="F49"/>
  <c r="E49"/>
  <c r="D49"/>
  <c r="I48"/>
  <c r="F48"/>
  <c r="E48"/>
  <c r="D48"/>
  <c r="I47"/>
  <c r="F47"/>
  <c r="E47"/>
  <c r="D47"/>
  <c r="I46"/>
  <c r="F46"/>
  <c r="E46"/>
  <c r="D46"/>
  <c r="I45"/>
  <c r="F45"/>
  <c r="E45"/>
  <c r="D45"/>
  <c r="I44"/>
  <c r="F44"/>
  <c r="E44"/>
  <c r="D44"/>
  <c r="I43"/>
  <c r="F43"/>
  <c r="E43"/>
  <c r="D43"/>
  <c r="I42"/>
  <c r="F42"/>
  <c r="E42"/>
  <c r="D42"/>
  <c r="I41"/>
  <c r="F41"/>
  <c r="E41"/>
  <c r="D41"/>
  <c r="I40"/>
  <c r="F40"/>
  <c r="E40"/>
  <c r="D40"/>
  <c r="I39"/>
  <c r="F39"/>
  <c r="E39"/>
  <c r="D39"/>
  <c r="I38"/>
  <c r="F38"/>
  <c r="E38"/>
  <c r="D38"/>
  <c r="I37"/>
  <c r="F37"/>
  <c r="E37"/>
  <c r="D37"/>
  <c r="I36"/>
  <c r="F36"/>
  <c r="E36"/>
  <c r="D36"/>
  <c r="I35"/>
  <c r="F35"/>
  <c r="E35"/>
  <c r="D35"/>
  <c r="I34"/>
  <c r="F34"/>
  <c r="E34"/>
  <c r="D34"/>
  <c r="I32"/>
  <c r="F32"/>
  <c r="E32"/>
  <c r="D32"/>
  <c r="I31"/>
  <c r="F31"/>
  <c r="E31"/>
  <c r="D31"/>
  <c r="I30"/>
  <c r="F30"/>
  <c r="E30"/>
  <c r="D30"/>
  <c r="I29"/>
  <c r="F29"/>
  <c r="E29"/>
  <c r="D29"/>
  <c r="I28"/>
  <c r="F28"/>
  <c r="E28"/>
  <c r="D28"/>
  <c r="I26"/>
  <c r="F26"/>
  <c r="E26"/>
  <c r="D26"/>
  <c r="I25"/>
  <c r="F25"/>
  <c r="E25"/>
  <c r="D25"/>
  <c r="I24"/>
  <c r="F24"/>
  <c r="E24"/>
  <c r="D24"/>
  <c r="I23"/>
  <c r="F23"/>
  <c r="E23"/>
  <c r="D23"/>
  <c r="I22"/>
  <c r="F22"/>
  <c r="E22"/>
  <c r="D22"/>
  <c r="I21"/>
  <c r="F21"/>
  <c r="E21"/>
  <c r="D21"/>
  <c r="I20"/>
  <c r="F20"/>
  <c r="E20"/>
  <c r="D20"/>
  <c r="I19"/>
  <c r="F19"/>
  <c r="E19"/>
  <c r="D19"/>
  <c r="I18"/>
  <c r="F18"/>
  <c r="E18"/>
  <c r="D18"/>
  <c r="I17"/>
  <c r="F17"/>
  <c r="E17"/>
  <c r="D17"/>
  <c r="I16"/>
  <c r="F16"/>
  <c r="E16"/>
  <c r="D16"/>
  <c r="I15"/>
  <c r="F15"/>
  <c r="E15"/>
  <c r="D15"/>
  <c r="I14"/>
  <c r="F14"/>
  <c r="E14"/>
  <c r="D14"/>
  <c r="I13"/>
  <c r="F13"/>
  <c r="E13"/>
  <c r="D13"/>
  <c r="I12"/>
  <c r="F12"/>
  <c r="E12"/>
  <c r="D12"/>
  <c r="I11"/>
  <c r="F11"/>
  <c r="E11"/>
  <c r="D11"/>
  <c r="I10"/>
  <c r="F10"/>
  <c r="E10"/>
  <c r="D10"/>
  <c r="I9"/>
  <c r="F9"/>
  <c r="E9"/>
  <c r="D9"/>
  <c r="I8"/>
  <c r="F8"/>
  <c r="E8"/>
  <c r="D8"/>
  <c r="I7"/>
  <c r="I64" s="1"/>
  <c r="F7"/>
  <c r="F64" s="1"/>
  <c r="E7"/>
  <c r="E64" s="1"/>
  <c r="D7"/>
  <c r="D64" s="1"/>
  <c r="D66" s="1"/>
  <c r="I4"/>
  <c r="I193" i="89"/>
  <c r="G193"/>
  <c r="K191"/>
  <c r="K193" s="1"/>
  <c r="I190"/>
  <c r="G190"/>
  <c r="K188"/>
  <c r="K190" s="1"/>
  <c r="I187"/>
  <c r="G187"/>
  <c r="K185"/>
  <c r="K187" s="1"/>
  <c r="I184"/>
  <c r="G184"/>
  <c r="K182"/>
  <c r="K184" s="1"/>
  <c r="I181"/>
  <c r="G181"/>
  <c r="K179"/>
  <c r="K181" s="1"/>
  <c r="I178"/>
  <c r="G178"/>
  <c r="K176"/>
  <c r="K178" s="1"/>
  <c r="I175"/>
  <c r="G175"/>
  <c r="K173"/>
  <c r="K175" s="1"/>
  <c r="I172"/>
  <c r="K170"/>
  <c r="K172" s="1"/>
  <c r="I170"/>
  <c r="G170"/>
  <c r="G172" s="1"/>
  <c r="I169"/>
  <c r="G169"/>
  <c r="K167"/>
  <c r="K169" s="1"/>
  <c r="I166"/>
  <c r="K164"/>
  <c r="K166" s="1"/>
  <c r="I164"/>
  <c r="H164"/>
  <c r="G164"/>
  <c r="G166" s="1"/>
  <c r="K163"/>
  <c r="I163"/>
  <c r="G163"/>
  <c r="K161"/>
  <c r="G160"/>
  <c r="I158"/>
  <c r="I160" s="1"/>
  <c r="K157"/>
  <c r="G156"/>
  <c r="I154"/>
  <c r="I156" s="1"/>
  <c r="K153"/>
  <c r="K150"/>
  <c r="K149"/>
  <c r="K152" s="1"/>
  <c r="I149"/>
  <c r="I152" s="1"/>
  <c r="G149"/>
  <c r="G152" s="1"/>
  <c r="I148"/>
  <c r="K146"/>
  <c r="I146"/>
  <c r="K145"/>
  <c r="K148" s="1"/>
  <c r="I145"/>
  <c r="G145"/>
  <c r="G148" s="1"/>
  <c r="I144"/>
  <c r="G144"/>
  <c r="K142"/>
  <c r="K141"/>
  <c r="K144" s="1"/>
  <c r="K140"/>
  <c r="I140"/>
  <c r="G140"/>
  <c r="K138"/>
  <c r="K137"/>
  <c r="I137"/>
  <c r="G137"/>
  <c r="K135"/>
  <c r="G134"/>
  <c r="I132"/>
  <c r="I134" s="1"/>
  <c r="I131"/>
  <c r="K129"/>
  <c r="K131" s="1"/>
  <c r="I129"/>
  <c r="G129"/>
  <c r="G131" s="1"/>
  <c r="I128"/>
  <c r="K126"/>
  <c r="K128" s="1"/>
  <c r="I126"/>
  <c r="G126"/>
  <c r="G128" s="1"/>
  <c r="I125"/>
  <c r="K123"/>
  <c r="I123"/>
  <c r="K122"/>
  <c r="K125" s="1"/>
  <c r="I122"/>
  <c r="G122"/>
  <c r="G125" s="1"/>
  <c r="I121"/>
  <c r="K119"/>
  <c r="I119"/>
  <c r="K118"/>
  <c r="K121" s="1"/>
  <c r="I118"/>
  <c r="G118"/>
  <c r="G121" s="1"/>
  <c r="I117"/>
  <c r="G117"/>
  <c r="K115"/>
  <c r="K117" s="1"/>
  <c r="I115"/>
  <c r="G114"/>
  <c r="I112"/>
  <c r="K112" s="1"/>
  <c r="I111"/>
  <c r="I114" s="1"/>
  <c r="G111"/>
  <c r="G110"/>
  <c r="I108"/>
  <c r="K108" s="1"/>
  <c r="I107"/>
  <c r="I110" s="1"/>
  <c r="G107"/>
  <c r="K106"/>
  <c r="I106"/>
  <c r="G106"/>
  <c r="K104"/>
  <c r="G103"/>
  <c r="I101"/>
  <c r="I103" s="1"/>
  <c r="G101"/>
  <c r="G100"/>
  <c r="I98"/>
  <c r="K98" s="1"/>
  <c r="I97"/>
  <c r="I100" s="1"/>
  <c r="G97"/>
  <c r="G95"/>
  <c r="I93"/>
  <c r="I95" s="1"/>
  <c r="G93"/>
  <c r="K92"/>
  <c r="I92"/>
  <c r="K90"/>
  <c r="G90"/>
  <c r="G92" s="1"/>
  <c r="I89"/>
  <c r="K87"/>
  <c r="K89" s="1"/>
  <c r="I87"/>
  <c r="G87"/>
  <c r="G89" s="1"/>
  <c r="I86"/>
  <c r="K84"/>
  <c r="G84"/>
  <c r="K83"/>
  <c r="K86" s="1"/>
  <c r="I83"/>
  <c r="G83"/>
  <c r="G86" s="1"/>
  <c r="I82"/>
  <c r="K80"/>
  <c r="I80"/>
  <c r="G80"/>
  <c r="I79"/>
  <c r="K79" s="1"/>
  <c r="K82" s="1"/>
  <c r="G79"/>
  <c r="G82" s="1"/>
  <c r="K77"/>
  <c r="I77"/>
  <c r="G77"/>
  <c r="K75"/>
  <c r="K74"/>
  <c r="I74"/>
  <c r="G74"/>
  <c r="K72"/>
  <c r="K71"/>
  <c r="I71"/>
  <c r="G71"/>
  <c r="K69"/>
  <c r="G68"/>
  <c r="I66"/>
  <c r="I68" s="1"/>
  <c r="G66"/>
  <c r="K63"/>
  <c r="K62"/>
  <c r="K65" s="1"/>
  <c r="I62"/>
  <c r="I65" s="1"/>
  <c r="G62"/>
  <c r="G65" s="1"/>
  <c r="K59"/>
  <c r="I58"/>
  <c r="I61" s="1"/>
  <c r="G58"/>
  <c r="G61" s="1"/>
  <c r="K57"/>
  <c r="I57"/>
  <c r="G57"/>
  <c r="K55"/>
  <c r="G54"/>
  <c r="I52"/>
  <c r="I54" s="1"/>
  <c r="G52"/>
  <c r="I51"/>
  <c r="G51"/>
  <c r="K49"/>
  <c r="K48"/>
  <c r="K51" s="1"/>
  <c r="I47"/>
  <c r="K45"/>
  <c r="K47" s="1"/>
  <c r="G45"/>
  <c r="G47" s="1"/>
  <c r="K41"/>
  <c r="I41"/>
  <c r="K42" s="1"/>
  <c r="K40"/>
  <c r="I40"/>
  <c r="I44" s="1"/>
  <c r="G40"/>
  <c r="G44" s="1"/>
  <c r="I39"/>
  <c r="K37"/>
  <c r="K39" s="1"/>
  <c r="I37"/>
  <c r="G37"/>
  <c r="G39" s="1"/>
  <c r="K34"/>
  <c r="I33"/>
  <c r="I36" s="1"/>
  <c r="G33"/>
  <c r="G36" s="1"/>
  <c r="G32"/>
  <c r="K30"/>
  <c r="K29"/>
  <c r="K32" s="1"/>
  <c r="I29"/>
  <c r="I32" s="1"/>
  <c r="G29"/>
  <c r="G28"/>
  <c r="K26"/>
  <c r="I25"/>
  <c r="I28" s="1"/>
  <c r="K24"/>
  <c r="K21"/>
  <c r="K20"/>
  <c r="I20"/>
  <c r="K19"/>
  <c r="K23" s="1"/>
  <c r="I19"/>
  <c r="I23" s="1"/>
  <c r="G19"/>
  <c r="G23" s="1"/>
  <c r="I18"/>
  <c r="K16"/>
  <c r="K18" s="1"/>
  <c r="G16"/>
  <c r="G18" s="1"/>
  <c r="K15"/>
  <c r="K13"/>
  <c r="K12"/>
  <c r="I12"/>
  <c r="I15" s="1"/>
  <c r="G12"/>
  <c r="G15" s="1"/>
  <c r="I11"/>
  <c r="G11"/>
  <c r="K9"/>
  <c r="K11" s="1"/>
  <c r="I8"/>
  <c r="G8"/>
  <c r="K6"/>
  <c r="K8" s="1"/>
  <c r="M3"/>
  <c r="L3"/>
  <c r="M191" s="1"/>
  <c r="K44" l="1"/>
  <c r="G1"/>
  <c r="M9"/>
  <c r="L30"/>
  <c r="L33"/>
  <c r="M40"/>
  <c r="M48"/>
  <c r="L55"/>
  <c r="L58"/>
  <c r="L69"/>
  <c r="L9"/>
  <c r="L12"/>
  <c r="M13"/>
  <c r="M24"/>
  <c r="M25"/>
  <c r="K33"/>
  <c r="K36" s="1"/>
  <c r="L34"/>
  <c r="L37"/>
  <c r="L40"/>
  <c r="L41"/>
  <c r="M42"/>
  <c r="L48"/>
  <c r="M49"/>
  <c r="M52"/>
  <c r="K58"/>
  <c r="K61" s="1"/>
  <c r="L59"/>
  <c r="L62"/>
  <c r="M63"/>
  <c r="M66"/>
  <c r="M72"/>
  <c r="K93"/>
  <c r="K95" s="1"/>
  <c r="K97"/>
  <c r="K100" s="1"/>
  <c r="K101"/>
  <c r="K103" s="1"/>
  <c r="M104"/>
  <c r="M107"/>
  <c r="M108"/>
  <c r="M111"/>
  <c r="M112"/>
  <c r="K132"/>
  <c r="K134" s="1"/>
  <c r="M135"/>
  <c r="M141"/>
  <c r="M153"/>
  <c r="M154"/>
  <c r="K158"/>
  <c r="K160" s="1"/>
  <c r="M161"/>
  <c r="L164"/>
  <c r="L173"/>
  <c r="L179"/>
  <c r="L185"/>
  <c r="L191"/>
  <c r="M6"/>
  <c r="L52"/>
  <c r="L63"/>
  <c r="L66"/>
  <c r="L72"/>
  <c r="M84"/>
  <c r="L104"/>
  <c r="L107"/>
  <c r="L108"/>
  <c r="L111"/>
  <c r="M115"/>
  <c r="M118"/>
  <c r="M119"/>
  <c r="M122"/>
  <c r="M123"/>
  <c r="M126"/>
  <c r="M129"/>
  <c r="L135"/>
  <c r="L141"/>
  <c r="M142"/>
  <c r="M145"/>
  <c r="M146"/>
  <c r="M149"/>
  <c r="L153"/>
  <c r="L154"/>
  <c r="L161"/>
  <c r="M167"/>
  <c r="M170"/>
  <c r="M176"/>
  <c r="M182"/>
  <c r="M188"/>
  <c r="L13"/>
  <c r="M16"/>
  <c r="M19"/>
  <c r="M20"/>
  <c r="L24"/>
  <c r="L25"/>
  <c r="M26"/>
  <c r="M29"/>
  <c r="L42"/>
  <c r="M45"/>
  <c r="L49"/>
  <c r="M80"/>
  <c r="M83"/>
  <c r="M87"/>
  <c r="L112"/>
  <c r="L6"/>
  <c r="L16"/>
  <c r="L19"/>
  <c r="L20"/>
  <c r="M21"/>
  <c r="K25"/>
  <c r="K28" s="1"/>
  <c r="L26"/>
  <c r="L29"/>
  <c r="M30"/>
  <c r="M33"/>
  <c r="L45"/>
  <c r="K52"/>
  <c r="K54" s="1"/>
  <c r="M55"/>
  <c r="M58"/>
  <c r="K66"/>
  <c r="K68" s="1"/>
  <c r="M69"/>
  <c r="M75"/>
  <c r="M79"/>
  <c r="L80"/>
  <c r="L83"/>
  <c r="L84"/>
  <c r="L87"/>
  <c r="M90"/>
  <c r="M93"/>
  <c r="M97"/>
  <c r="M98"/>
  <c r="M101"/>
  <c r="K107"/>
  <c r="K110" s="1"/>
  <c r="K111"/>
  <c r="K114" s="1"/>
  <c r="L115"/>
  <c r="L118"/>
  <c r="L119"/>
  <c r="L122"/>
  <c r="L123"/>
  <c r="L126"/>
  <c r="L129"/>
  <c r="M132"/>
  <c r="M138"/>
  <c r="L142"/>
  <c r="L145"/>
  <c r="L146"/>
  <c r="L149"/>
  <c r="M150"/>
  <c r="K154"/>
  <c r="K156" s="1"/>
  <c r="M157"/>
  <c r="M158"/>
  <c r="L167"/>
  <c r="L170"/>
  <c r="L176"/>
  <c r="L182"/>
  <c r="L188"/>
  <c r="M12"/>
  <c r="L21"/>
  <c r="M34"/>
  <c r="M37"/>
  <c r="M41"/>
  <c r="M59"/>
  <c r="M62"/>
  <c r="L75"/>
  <c r="L79"/>
  <c r="L90"/>
  <c r="L93"/>
  <c r="L97"/>
  <c r="L98"/>
  <c r="L101"/>
  <c r="L132"/>
  <c r="L138"/>
  <c r="L150"/>
  <c r="L157"/>
  <c r="L158"/>
  <c r="M164"/>
  <c r="M173"/>
  <c r="M179"/>
  <c r="M185"/>
  <c r="M37" i="13" l="1"/>
  <c r="O37" s="1"/>
  <c r="P37" s="1"/>
  <c r="N37"/>
  <c r="M38"/>
  <c r="O38" s="1"/>
  <c r="P38" s="1"/>
  <c r="N38"/>
  <c r="M39"/>
  <c r="O39" s="1"/>
  <c r="P39" s="1"/>
  <c r="N39"/>
  <c r="M27" l="1"/>
  <c r="M28"/>
  <c r="O28" s="1"/>
  <c r="M29"/>
  <c r="N29" s="1"/>
  <c r="M30"/>
  <c r="N30"/>
  <c r="P30" s="1"/>
  <c r="O30"/>
  <c r="M31"/>
  <c r="N31" s="1"/>
  <c r="P31" s="1"/>
  <c r="O31"/>
  <c r="M32"/>
  <c r="O32" s="1"/>
  <c r="M33"/>
  <c r="O33" s="1"/>
  <c r="M34"/>
  <c r="N34"/>
  <c r="P34" s="1"/>
  <c r="O34"/>
  <c r="M35"/>
  <c r="N35" s="1"/>
  <c r="P35" s="1"/>
  <c r="O35"/>
  <c r="M36"/>
  <c r="O36" s="1"/>
  <c r="P29" l="1"/>
  <c r="N33"/>
  <c r="P33" s="1"/>
  <c r="N36"/>
  <c r="P36" s="1"/>
  <c r="O29"/>
  <c r="N28"/>
  <c r="P28" s="1"/>
  <c r="N32"/>
  <c r="P32" s="1"/>
  <c r="N27"/>
  <c r="P27" s="1"/>
  <c r="O27"/>
  <c r="M22" l="1"/>
  <c r="M23"/>
  <c r="M24"/>
  <c r="M25"/>
  <c r="M26"/>
  <c r="N26" l="1"/>
  <c r="P26" s="1"/>
  <c r="N25"/>
  <c r="P25" s="1"/>
  <c r="N24"/>
  <c r="N23"/>
  <c r="N22"/>
  <c r="P22" s="1"/>
  <c r="O26"/>
  <c r="O25"/>
  <c r="O24"/>
  <c r="O23"/>
  <c r="O22"/>
  <c r="P24" l="1"/>
  <c r="P23"/>
  <c r="M17"/>
  <c r="O17" s="1"/>
  <c r="M18"/>
  <c r="O18" s="1"/>
  <c r="M19"/>
  <c r="O19" s="1"/>
  <c r="M20"/>
  <c r="O20" s="1"/>
  <c r="M21"/>
  <c r="O21" s="1"/>
  <c r="N21" l="1"/>
  <c r="P21" s="1"/>
  <c r="N17"/>
  <c r="P17" s="1"/>
  <c r="N19"/>
  <c r="P19" s="1"/>
  <c r="N20"/>
  <c r="P20" s="1"/>
  <c r="N18"/>
  <c r="P18" s="1"/>
  <c r="M15"/>
  <c r="O15" s="1"/>
  <c r="M16"/>
  <c r="O16" s="1"/>
  <c r="N15" i="1"/>
  <c r="P15" s="1"/>
  <c r="O15"/>
  <c r="L25"/>
  <c r="N25" s="1"/>
  <c r="L24"/>
  <c r="N24" s="1"/>
  <c r="L23"/>
  <c r="N23" s="1"/>
  <c r="L22"/>
  <c r="N22" s="1"/>
  <c r="L21"/>
  <c r="N21" s="1"/>
  <c r="O21" s="1"/>
  <c r="L20"/>
  <c r="N20" s="1"/>
  <c r="L19"/>
  <c r="N19" s="1"/>
  <c r="L18"/>
  <c r="N18" s="1"/>
  <c r="L17"/>
  <c r="N17" s="1"/>
  <c r="L16"/>
  <c r="N16" s="1"/>
  <c r="L15"/>
  <c r="J13"/>
  <c r="N13"/>
  <c r="N14"/>
  <c r="O14" s="1"/>
  <c r="J14"/>
  <c r="N12"/>
  <c r="O12" s="1"/>
  <c r="J12"/>
  <c r="N11"/>
  <c r="O11" s="1"/>
  <c r="P11" s="1"/>
  <c r="J11"/>
  <c r="N15" i="13" l="1"/>
  <c r="P15" s="1"/>
  <c r="N16"/>
  <c r="P16" s="1"/>
  <c r="O25" i="1"/>
  <c r="P25" s="1"/>
  <c r="O24"/>
  <c r="P24" s="1"/>
  <c r="P23"/>
  <c r="O23"/>
  <c r="O22"/>
  <c r="P22" s="1"/>
  <c r="P21"/>
  <c r="O20"/>
  <c r="P20" s="1"/>
  <c r="O19"/>
  <c r="P19" s="1"/>
  <c r="O18"/>
  <c r="P18" s="1"/>
  <c r="O17"/>
  <c r="P17" s="1"/>
  <c r="O16"/>
  <c r="P16" s="1"/>
  <c r="O13"/>
  <c r="P13" s="1"/>
  <c r="P12"/>
  <c r="P14"/>
  <c r="O10" l="1"/>
  <c r="P10" s="1"/>
  <c r="N10"/>
  <c r="J10"/>
  <c r="N9"/>
  <c r="O9" s="1"/>
  <c r="P9" s="1"/>
  <c r="J9"/>
  <c r="M14" i="13" l="1"/>
  <c r="N14" s="1"/>
  <c r="O14" l="1"/>
  <c r="P14" s="1"/>
  <c r="M10" l="1"/>
  <c r="M11"/>
  <c r="M12"/>
  <c r="M13"/>
  <c r="M41" l="1"/>
  <c r="N13"/>
  <c r="N12"/>
  <c r="N11"/>
  <c r="N10"/>
  <c r="O13"/>
  <c r="O12"/>
  <c r="P12" s="1"/>
  <c r="O11"/>
  <c r="O10"/>
  <c r="P13" l="1"/>
  <c r="P10"/>
  <c r="P11"/>
  <c r="N41" l="1"/>
  <c r="O41"/>
  <c r="P41"/>
  <c r="K41" l="1"/>
  <c r="Q10" i="22" l="1"/>
  <c r="Q12" s="1"/>
  <c r="P10"/>
  <c r="P12" s="1"/>
  <c r="J10" l="1"/>
  <c r="L11" l="1"/>
  <c r="L8" l="1"/>
  <c r="L7"/>
  <c r="H10"/>
  <c r="L6"/>
  <c r="M3"/>
  <c r="M6" l="1"/>
  <c r="M11"/>
  <c r="M8"/>
  <c r="L10"/>
  <c r="M7"/>
  <c r="L6" i="20" l="1"/>
  <c r="J8"/>
  <c r="P4"/>
  <c r="P6" s="1"/>
  <c r="L8" l="1"/>
  <c r="M6"/>
  <c r="M8" s="1"/>
  <c r="N6"/>
  <c r="O6" l="1"/>
  <c r="O8" s="1"/>
  <c r="J41" i="13" l="1"/>
  <c r="N27" i="1" l="1"/>
  <c r="J27" l="1"/>
  <c r="L27"/>
  <c r="P27" l="1"/>
  <c r="O27"/>
</calcChain>
</file>

<file path=xl/sharedStrings.xml><?xml version="1.0" encoding="utf-8"?>
<sst xmlns="http://schemas.openxmlformats.org/spreadsheetml/2006/main" count="623" uniqueCount="264">
  <si>
    <t>FACTORY 
INV NO</t>
  </si>
  <si>
    <t>INV DT</t>
  </si>
  <si>
    <t xml:space="preserve">L R NO </t>
  </si>
  <si>
    <t>L R DT</t>
  </si>
  <si>
    <t>TRANSPORTER</t>
  </si>
  <si>
    <t>C R R NO</t>
  </si>
  <si>
    <t>REC DT</t>
  </si>
  <si>
    <t>DESCRIPTION</t>
  </si>
  <si>
    <t>BOX</t>
  </si>
  <si>
    <t>QTY NO'S</t>
  </si>
  <si>
    <t>INV VALUE</t>
  </si>
  <si>
    <t>Total</t>
  </si>
  <si>
    <t>P.O NO</t>
  </si>
  <si>
    <t>FACTORY
 INV NO</t>
  </si>
  <si>
    <t>Qty In        Nos</t>
  </si>
  <si>
    <t>RATE</t>
  </si>
  <si>
    <t>Invoice Value</t>
  </si>
  <si>
    <t>Basic Value</t>
  </si>
  <si>
    <t>Remarks</t>
  </si>
  <si>
    <t>Order Date</t>
  </si>
  <si>
    <t>Issue  Inv No</t>
  </si>
  <si>
    <t>Customer</t>
  </si>
  <si>
    <t>ASSE.VALUE</t>
  </si>
  <si>
    <t>Rate</t>
  </si>
  <si>
    <t>IGST @ 18%</t>
  </si>
  <si>
    <t>GST NO : 29AACCM0082F1ZO</t>
  </si>
  <si>
    <t>Box*Qty</t>
  </si>
  <si>
    <t>CGST @ 9%</t>
  </si>
  <si>
    <t>SGST @ 9%</t>
  </si>
  <si>
    <t>Remark</t>
  </si>
  <si>
    <t>SKF Delivery date</t>
  </si>
  <si>
    <t>Invoice Date</t>
  </si>
  <si>
    <t>TYPE</t>
  </si>
  <si>
    <t>Age of Days</t>
  </si>
  <si>
    <t>R-INV NO</t>
  </si>
  <si>
    <t>R-INV DT</t>
  </si>
  <si>
    <t>R-Challan No</t>
  </si>
  <si>
    <t>R-Challan Date</t>
  </si>
  <si>
    <t>E-Sugam No</t>
  </si>
  <si>
    <t>REC.DATE</t>
  </si>
  <si>
    <t>QTY</t>
  </si>
  <si>
    <t>INV.VALUE</t>
  </si>
  <si>
    <t xml:space="preserve">MANU YANTRALAYA REJECTION Stock As On </t>
  </si>
  <si>
    <t>INV NO</t>
  </si>
  <si>
    <t>Box</t>
  </si>
  <si>
    <t>Qty</t>
  </si>
  <si>
    <t>RIVETED-CAGES</t>
  </si>
  <si>
    <t>FM=27200,ML=13600</t>
  </si>
  <si>
    <t>REJECTION Stock  DETAILS</t>
  </si>
  <si>
    <t>W/H Inv No</t>
  </si>
  <si>
    <t>BGWVRC0620</t>
  </si>
  <si>
    <t>R-CHALLAN NO</t>
  </si>
  <si>
    <t>R-CHALLAN  DT</t>
  </si>
  <si>
    <t>CR6000</t>
  </si>
  <si>
    <t>BGWVRC0621</t>
  </si>
  <si>
    <t>BGWVRC0622</t>
  </si>
  <si>
    <t>FM=22080,ML=11040</t>
  </si>
  <si>
    <t>CR 6303 ML</t>
  </si>
  <si>
    <t>ML=3510</t>
  </si>
  <si>
    <t>Mat hold due to qlty issue</t>
  </si>
  <si>
    <t>-</t>
  </si>
  <si>
    <t>252602-000057</t>
  </si>
  <si>
    <t>252602-000058</t>
  </si>
  <si>
    <t xml:space="preserve">Rejection Details </t>
  </si>
  <si>
    <t>Dommasandra Eye Care Center</t>
  </si>
  <si>
    <t xml:space="preserve"> at Dommasnadra, Sarjapura Road,</t>
  </si>
  <si>
    <t>Anekal Taluk, Bangalore-562125</t>
  </si>
  <si>
    <t xml:space="preserve">Sy No. 9/1, Sy no 46, Behind </t>
  </si>
  <si>
    <t>SKF INDUSTRIAL</t>
  </si>
  <si>
    <t>SKF AUTOMATIVE</t>
  </si>
  <si>
    <t>NO OF BOXES</t>
  </si>
  <si>
    <t>PARTAP SINGH</t>
  </si>
  <si>
    <t>MANU YANTRALAYA SALES STATEMENT MONTH  SEPTEMBER-2026</t>
  </si>
  <si>
    <t>MANU YANTRALAYA RECEIPT STATEMENT MONTH : SEPTEMBER-2026</t>
  </si>
  <si>
    <t>BB1 3260 RIVETED (TT)</t>
  </si>
  <si>
    <t>FM=2752,ML=1376</t>
  </si>
  <si>
    <t>CR BB1 4705</t>
  </si>
  <si>
    <t>FM=2240, ML=1120</t>
  </si>
  <si>
    <t>CR 6003</t>
  </si>
  <si>
    <t>FM=12600,ML=6300</t>
  </si>
  <si>
    <t xml:space="preserve">CR 6203 </t>
  </si>
  <si>
    <t>FM=9100,ML=4550</t>
  </si>
  <si>
    <t xml:space="preserve">6205 E RIVETED </t>
  </si>
  <si>
    <t>FM=4200,ML=2100</t>
  </si>
  <si>
    <t>CR 6205</t>
  </si>
  <si>
    <t>FM=5200,ML=2600</t>
  </si>
  <si>
    <t>SZ 6205</t>
  </si>
  <si>
    <t>SZ 6003</t>
  </si>
  <si>
    <t>SZ 6200/6001</t>
  </si>
  <si>
    <t>SZ 6201</t>
  </si>
  <si>
    <t>6*15750</t>
  </si>
  <si>
    <t>SZ 6000</t>
  </si>
  <si>
    <t>SZ 6004</t>
  </si>
  <si>
    <t>17*6000</t>
  </si>
  <si>
    <t>SZ 6005</t>
  </si>
  <si>
    <t>SZ 6203HEZCP</t>
  </si>
  <si>
    <t>SZ 6205ED.02</t>
  </si>
  <si>
    <t>15*4000</t>
  </si>
  <si>
    <t>SZ 6305</t>
  </si>
  <si>
    <t>SZ 6202</t>
  </si>
  <si>
    <t>36*4000</t>
  </si>
  <si>
    <t>18*8400</t>
  </si>
  <si>
    <t>41*19250</t>
  </si>
  <si>
    <t>6*24000</t>
  </si>
  <si>
    <t>12*6000</t>
  </si>
  <si>
    <t>21*5000</t>
  </si>
  <si>
    <t>46*6000</t>
  </si>
  <si>
    <t>50*4000</t>
  </si>
  <si>
    <t>29*3500</t>
  </si>
  <si>
    <t>67*10500</t>
  </si>
  <si>
    <t>262702-000863</t>
  </si>
  <si>
    <t>262702-000864</t>
  </si>
  <si>
    <t>262702-000865</t>
  </si>
  <si>
    <t>P246963</t>
  </si>
  <si>
    <t>P469405</t>
  </si>
  <si>
    <t>CR 6002</t>
  </si>
  <si>
    <t>CR 6204</t>
  </si>
  <si>
    <t>SZ 6204</t>
  </si>
  <si>
    <t>SZ 6203</t>
  </si>
  <si>
    <t>262702-000866</t>
  </si>
  <si>
    <t>262702-000867</t>
  </si>
  <si>
    <t>262702-000868</t>
  </si>
  <si>
    <t>262702-000869</t>
  </si>
  <si>
    <r>
      <t xml:space="preserve">TOTAL BOXES    </t>
    </r>
    <r>
      <rPr>
        <b/>
        <i/>
        <sz val="16"/>
        <rFont val="Arial"/>
        <family val="2"/>
      </rPr>
      <t>:</t>
    </r>
  </si>
  <si>
    <t xml:space="preserve"> MANU YANTRALAYA  STOCK STATEMENT </t>
  </si>
  <si>
    <t>RG NO</t>
  </si>
  <si>
    <t>Age of Days Receive Date To Still Date</t>
  </si>
  <si>
    <t>REMARKS</t>
  </si>
  <si>
    <t>CR 6000</t>
  </si>
  <si>
    <t>CR 6001</t>
  </si>
  <si>
    <t>FM=21600,ML=10800</t>
  </si>
  <si>
    <t>FM=16640,ML=8320</t>
  </si>
  <si>
    <t xml:space="preserve">CR 6004 </t>
  </si>
  <si>
    <t>FM=8640,ML=4320</t>
  </si>
  <si>
    <t xml:space="preserve">CR 6005 </t>
  </si>
  <si>
    <t>FM=5670,ML=2835</t>
  </si>
  <si>
    <t>CR 6201</t>
  </si>
  <si>
    <t>FM=14560,ML=7280</t>
  </si>
  <si>
    <t xml:space="preserve">CR 6202 </t>
  </si>
  <si>
    <t>FM=11760,ML=5880</t>
  </si>
  <si>
    <t>FM=6480,ML=3240</t>
  </si>
  <si>
    <t>CR 6302</t>
  </si>
  <si>
    <t>FM=7920,ML=3960</t>
  </si>
  <si>
    <t xml:space="preserve">CR 6303 </t>
  </si>
  <si>
    <t>FM=7020, ML=3510</t>
  </si>
  <si>
    <t>CR BB1 3260 B</t>
  </si>
  <si>
    <t>FM=2752, ML=1376</t>
  </si>
  <si>
    <t>CR BB1 4724</t>
  </si>
  <si>
    <t>FM=8208, ML=4104</t>
  </si>
  <si>
    <t xml:space="preserve">CR BB1 2697 </t>
  </si>
  <si>
    <t>FM=3840, ML=1920</t>
  </si>
  <si>
    <t>CR BB1 4763</t>
  </si>
  <si>
    <t>FM=8400,ML=4200</t>
  </si>
  <si>
    <t>CR BB14719</t>
  </si>
  <si>
    <t>FM=2500,ML=1250</t>
  </si>
  <si>
    <t>CR BB1 3902 E</t>
  </si>
  <si>
    <t>FM=3840,ML=1920</t>
  </si>
  <si>
    <t>NITREDED-CAGES</t>
  </si>
  <si>
    <t>6202 E RIVETED (TT)</t>
  </si>
  <si>
    <t>MATERIAL Hold  Mr Harish Ji</t>
  </si>
  <si>
    <t>BB1 6302 RIVETED (TT)</t>
  </si>
  <si>
    <t>6204 E RIVETED</t>
  </si>
  <si>
    <t>FM=5580,ML=2790</t>
  </si>
  <si>
    <t>SHIELDS</t>
  </si>
  <si>
    <t>14*24000</t>
  </si>
  <si>
    <t>SZ 6002</t>
  </si>
  <si>
    <t>9*6000</t>
  </si>
  <si>
    <t>18*5000</t>
  </si>
  <si>
    <t>19*15750</t>
  </si>
  <si>
    <t>6*10500</t>
  </si>
  <si>
    <t>64*7500</t>
  </si>
  <si>
    <t>SZ 6302</t>
  </si>
  <si>
    <t>21*7500</t>
  </si>
  <si>
    <t>SZ 6303</t>
  </si>
  <si>
    <t>SZ 6304</t>
  </si>
  <si>
    <t>2*5000</t>
  </si>
  <si>
    <t>12*5000</t>
  </si>
  <si>
    <t>SZ 6204HEZCP</t>
  </si>
  <si>
    <t>10*5000</t>
  </si>
  <si>
    <t>FLAT CAGE XX-ES 490-01 (120-MM)</t>
  </si>
  <si>
    <t>CJBA19906</t>
  </si>
  <si>
    <t>CR BB1 2697 ML</t>
  </si>
  <si>
    <t>4*1920</t>
  </si>
  <si>
    <t>BB1 3260 RIVETED (TT)ML</t>
  </si>
  <si>
    <t>2*1376</t>
  </si>
  <si>
    <t>CR BB1 4705ML</t>
  </si>
  <si>
    <t>3*1120</t>
  </si>
  <si>
    <t>CR 6003ML</t>
  </si>
  <si>
    <t>1*6300</t>
  </si>
  <si>
    <t>CR 6201ML</t>
  </si>
  <si>
    <t>4*7280</t>
  </si>
  <si>
    <t>6202 E RIVETED (TT)ML</t>
  </si>
  <si>
    <t>4*5880</t>
  </si>
  <si>
    <t>CR 6205ML</t>
  </si>
  <si>
    <t>1*2600</t>
  </si>
  <si>
    <t>6205 E RIVETED ML</t>
  </si>
  <si>
    <t>3*2100</t>
  </si>
  <si>
    <t>2*3510</t>
  </si>
  <si>
    <t xml:space="preserve"> MANUYANTRALAYA STOCK STATEMENT AS ON</t>
  </si>
  <si>
    <t>SL NO</t>
  </si>
  <si>
    <t>Type</t>
  </si>
  <si>
    <t>Opening Bal</t>
  </si>
  <si>
    <t>Receipt Qty</t>
  </si>
  <si>
    <t>Issue Qty</t>
  </si>
  <si>
    <t>Return sent To Jaipur</t>
  </si>
  <si>
    <t>Rejected Materail</t>
  </si>
  <si>
    <t>Balance Qty</t>
  </si>
  <si>
    <t>Riveted Cages</t>
  </si>
  <si>
    <t xml:space="preserve">CR 6201 </t>
  </si>
  <si>
    <t>Nitrede Riveted Cages</t>
  </si>
  <si>
    <t>Shields</t>
  </si>
  <si>
    <t>Stock Status</t>
  </si>
  <si>
    <t>P469475</t>
  </si>
  <si>
    <t>P247049</t>
  </si>
  <si>
    <t>P247046</t>
  </si>
  <si>
    <t>P247047</t>
  </si>
  <si>
    <t>P469477</t>
  </si>
  <si>
    <t>262702-000870</t>
  </si>
  <si>
    <t>262702-000871</t>
  </si>
  <si>
    <t>262702-000872</t>
  </si>
  <si>
    <t>262702-000873</t>
  </si>
  <si>
    <t>262702-000874</t>
  </si>
  <si>
    <t>P247085</t>
  </si>
  <si>
    <t>P247082</t>
  </si>
  <si>
    <t>P247080</t>
  </si>
  <si>
    <t>P247081</t>
  </si>
  <si>
    <t>P469565</t>
  </si>
  <si>
    <t>262702-000875</t>
  </si>
  <si>
    <t>262702-000876</t>
  </si>
  <si>
    <t>262702-000877</t>
  </si>
  <si>
    <t>262702-000878</t>
  </si>
  <si>
    <t>262702-000879</t>
  </si>
  <si>
    <t>P247117</t>
  </si>
  <si>
    <t>P247113</t>
  </si>
  <si>
    <t>P247114</t>
  </si>
  <si>
    <t>P469623</t>
  </si>
  <si>
    <t xml:space="preserve">P467667 </t>
  </si>
  <si>
    <t>262702-000880</t>
  </si>
  <si>
    <t>262702-000881</t>
  </si>
  <si>
    <t>262702-000882</t>
  </si>
  <si>
    <t>262702-000883</t>
  </si>
  <si>
    <t>262702-000884</t>
  </si>
  <si>
    <t>262702-000885</t>
  </si>
  <si>
    <t>262702-000886</t>
  </si>
  <si>
    <t>262702-000887</t>
  </si>
  <si>
    <t>262702-000888</t>
  </si>
  <si>
    <t>262702-000889</t>
  </si>
  <si>
    <t>P247167</t>
  </si>
  <si>
    <t>P247170</t>
  </si>
  <si>
    <t>P247176</t>
  </si>
  <si>
    <t>P247172</t>
  </si>
  <si>
    <t>P247171</t>
  </si>
  <si>
    <t>P247173</t>
  </si>
  <si>
    <t>P247177</t>
  </si>
  <si>
    <t xml:space="preserve">P469653 </t>
  </si>
  <si>
    <t>P468367</t>
  </si>
  <si>
    <t>6*12600</t>
  </si>
  <si>
    <t>34*5000</t>
  </si>
  <si>
    <t>6*3500</t>
  </si>
  <si>
    <t>262702-000890</t>
  </si>
  <si>
    <t>262702-000891</t>
  </si>
  <si>
    <t>262702-000892</t>
  </si>
  <si>
    <t>P247240</t>
  </si>
  <si>
    <t>P469714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</si>
</sst>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[&lt;=9999999]###\-####;\(###\)\ ###\-####"/>
    <numFmt numFmtId="166" formatCode="[$-409]d\-mmm\-yy;@"/>
    <numFmt numFmtId="167" formatCode="[$-409]d/mmm/yy;@"/>
    <numFmt numFmtId="168" formatCode="0.0%"/>
  </numFmts>
  <fonts count="6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i/>
      <sz val="12"/>
      <color indexed="48"/>
      <name val="Arial"/>
      <family val="2"/>
    </font>
    <font>
      <b/>
      <i/>
      <sz val="12"/>
      <color indexed="12"/>
      <name val="Arial"/>
      <family val="2"/>
    </font>
    <font>
      <b/>
      <i/>
      <sz val="12"/>
      <color indexed="48"/>
      <name val="Arial"/>
      <family val="2"/>
    </font>
    <font>
      <b/>
      <i/>
      <sz val="10"/>
      <color indexed="12"/>
      <name val="Arial"/>
      <family val="2"/>
    </font>
    <font>
      <i/>
      <sz val="10"/>
      <name val="Bookman Old Style"/>
      <family val="1"/>
    </font>
    <font>
      <b/>
      <i/>
      <sz val="16"/>
      <color indexed="10"/>
      <name val="Arial"/>
      <family val="2"/>
    </font>
    <font>
      <b/>
      <i/>
      <u/>
      <sz val="20"/>
      <color indexed="14"/>
      <name val="Arial"/>
      <family val="2"/>
    </font>
    <font>
      <i/>
      <sz val="10"/>
      <color indexed="12"/>
      <name val="Bookman Old Style"/>
      <family val="1"/>
    </font>
    <font>
      <b/>
      <i/>
      <sz val="12"/>
      <name val="Bookman Old Style"/>
      <family val="1"/>
    </font>
    <font>
      <b/>
      <i/>
      <sz val="10"/>
      <name val="Bookman Old Style"/>
      <family val="1"/>
    </font>
    <font>
      <b/>
      <i/>
      <sz val="18"/>
      <color indexed="10"/>
      <name val="Courier New"/>
      <family val="3"/>
    </font>
    <font>
      <i/>
      <sz val="8"/>
      <name val="Arial"/>
      <family val="2"/>
    </font>
    <font>
      <b/>
      <sz val="12"/>
      <name val="Arial"/>
      <family val="2"/>
    </font>
    <font>
      <i/>
      <sz val="10"/>
      <color indexed="8"/>
      <name val="Arial"/>
      <family val="2"/>
    </font>
    <font>
      <b/>
      <sz val="9"/>
      <color indexed="12"/>
      <name val="Bookman Old Style"/>
      <family val="1"/>
    </font>
    <font>
      <b/>
      <sz val="9"/>
      <name val="Bookman Old Style"/>
      <family val="1"/>
    </font>
    <font>
      <sz val="10"/>
      <name val="Arial"/>
      <family val="2"/>
    </font>
    <font>
      <b/>
      <sz val="10"/>
      <color indexed="12"/>
      <name val="Bookman Old Style"/>
      <family val="1"/>
    </font>
    <font>
      <sz val="10"/>
      <name val="Bookman Old Style"/>
      <family val="1"/>
    </font>
    <font>
      <b/>
      <sz val="10"/>
      <color indexed="10"/>
      <name val="Bookman Old Style"/>
      <family val="1"/>
    </font>
    <font>
      <sz val="10"/>
      <color indexed="10"/>
      <name val="Bookman Old Style"/>
      <family val="1"/>
    </font>
    <font>
      <b/>
      <sz val="12"/>
      <color rgb="FFFF0000"/>
      <name val="Bookman Old Style"/>
      <family val="1"/>
    </font>
    <font>
      <b/>
      <i/>
      <sz val="14"/>
      <name val="Bookman Old Style"/>
      <family val="1"/>
    </font>
    <font>
      <b/>
      <i/>
      <sz val="10"/>
      <color indexed="12"/>
      <name val="Bookman Old Style"/>
      <family val="1"/>
    </font>
    <font>
      <i/>
      <sz val="10"/>
      <color indexed="10"/>
      <name val="Bookman Old Style"/>
      <family val="1"/>
    </font>
    <font>
      <b/>
      <i/>
      <sz val="10"/>
      <color indexed="10"/>
      <name val="Bookman Old Style"/>
      <family val="1"/>
    </font>
    <font>
      <i/>
      <sz val="10"/>
      <color indexed="8"/>
      <name val="Bookman Old Style"/>
      <family val="1"/>
    </font>
    <font>
      <b/>
      <sz val="10"/>
      <name val="Bookman Old Style"/>
      <family val="1"/>
    </font>
    <font>
      <b/>
      <i/>
      <sz val="14"/>
      <name val="Arial"/>
      <family val="2"/>
    </font>
    <font>
      <b/>
      <i/>
      <sz val="12"/>
      <color indexed="8"/>
      <name val="Arial"/>
      <family val="2"/>
    </font>
    <font>
      <b/>
      <i/>
      <sz val="10"/>
      <name val="Arial"/>
      <family val="2"/>
    </font>
    <font>
      <b/>
      <i/>
      <sz val="12"/>
      <color indexed="8"/>
      <name val="Tahoma"/>
      <family val="2"/>
    </font>
    <font>
      <b/>
      <i/>
      <sz val="10"/>
      <color indexed="10"/>
      <name val="Arial"/>
      <family val="2"/>
    </font>
    <font>
      <sz val="11"/>
      <color indexed="8"/>
      <name val="Arial"/>
      <family val="2"/>
    </font>
    <font>
      <b/>
      <i/>
      <sz val="11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6"/>
      <name val="Arial"/>
      <family val="2"/>
    </font>
    <font>
      <i/>
      <sz val="12"/>
      <name val="Arial"/>
      <family val="2"/>
    </font>
    <font>
      <b/>
      <i/>
      <sz val="12"/>
      <color indexed="10"/>
      <name val="Arial"/>
      <family val="2"/>
    </font>
    <font>
      <b/>
      <i/>
      <sz val="12"/>
      <color theme="1"/>
      <name val="Arial"/>
      <family val="2"/>
    </font>
    <font>
      <b/>
      <i/>
      <sz val="10"/>
      <color indexed="8"/>
      <name val="Arial"/>
      <family val="2"/>
    </font>
    <font>
      <i/>
      <sz val="11"/>
      <name val="Arial"/>
      <family val="2"/>
    </font>
    <font>
      <b/>
      <sz val="12"/>
      <color indexed="12"/>
      <name val="Arial"/>
      <family val="2"/>
    </font>
    <font>
      <b/>
      <i/>
      <sz val="13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23">
    <xf numFmtId="0" fontId="0" fillId="0" borderId="0"/>
    <xf numFmtId="164" fontId="1" fillId="0" borderId="0" applyFont="0" applyFill="0" applyBorder="0" applyAlignment="0" applyProtection="0"/>
    <xf numFmtId="0" fontId="21" fillId="0" borderId="0">
      <alignment vertical="center"/>
    </xf>
    <xf numFmtId="0" fontId="1" fillId="0" borderId="0"/>
    <xf numFmtId="0" fontId="4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</cellStyleXfs>
  <cellXfs count="279">
    <xf numFmtId="0" fontId="0" fillId="0" borderId="0" xfId="0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2" fontId="9" fillId="0" borderId="1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3" fillId="4" borderId="1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6" fontId="8" fillId="3" borderId="1" xfId="0" applyNumberFormat="1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5" fontId="8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166" fontId="19" fillId="5" borderId="1" xfId="0" applyNumberFormat="1" applyFont="1" applyFill="1" applyBorder="1" applyAlignment="1">
      <alignment horizontal="center" vertical="center" wrapText="1"/>
    </xf>
    <xf numFmtId="2" fontId="19" fillId="5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164" fontId="14" fillId="4" borderId="1" xfId="1" applyFont="1" applyFill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167" fontId="23" fillId="0" borderId="0" xfId="2" applyNumberFormat="1" applyFont="1" applyAlignment="1">
      <alignment horizontal="center" vertical="center"/>
    </xf>
    <xf numFmtId="1" fontId="23" fillId="0" borderId="0" xfId="2" applyNumberFormat="1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1" fontId="25" fillId="0" borderId="0" xfId="2" applyNumberFormat="1" applyFont="1" applyAlignment="1">
      <alignment horizontal="center" vertical="center" wrapText="1"/>
    </xf>
    <xf numFmtId="14" fontId="23" fillId="0" borderId="0" xfId="2" applyNumberFormat="1" applyFont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 wrapText="1"/>
    </xf>
    <xf numFmtId="14" fontId="9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167" fontId="9" fillId="0" borderId="1" xfId="2" applyNumberFormat="1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2" fontId="9" fillId="0" borderId="1" xfId="2" applyNumberFormat="1" applyFont="1" applyBorder="1" applyAlignment="1">
      <alignment horizontal="center" vertical="center"/>
    </xf>
    <xf numFmtId="15" fontId="14" fillId="0" borderId="1" xfId="2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30" fillId="9" borderId="1" xfId="2" applyFont="1" applyFill="1" applyBorder="1" applyAlignment="1">
      <alignment horizontal="center" vertical="center" wrapText="1"/>
    </xf>
    <xf numFmtId="167" fontId="30" fillId="9" borderId="1" xfId="2" applyNumberFormat="1" applyFont="1" applyFill="1" applyBorder="1" applyAlignment="1">
      <alignment horizontal="center" vertical="center" wrapText="1"/>
    </xf>
    <xf numFmtId="1" fontId="30" fillId="9" borderId="1" xfId="2" applyNumberFormat="1" applyFont="1" applyFill="1" applyBorder="1" applyAlignment="1">
      <alignment horizontal="center" vertical="center" wrapText="1"/>
    </xf>
    <xf numFmtId="2" fontId="30" fillId="9" borderId="1" xfId="2" applyNumberFormat="1" applyFont="1" applyFill="1" applyBorder="1" applyAlignment="1">
      <alignment horizontal="center" vertical="center" wrapText="1"/>
    </xf>
    <xf numFmtId="14" fontId="9" fillId="0" borderId="0" xfId="2" applyNumberFormat="1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1" fontId="28" fillId="0" borderId="1" xfId="2" applyNumberFormat="1" applyFont="1" applyBorder="1" applyAlignment="1">
      <alignment horizontal="center" vertical="center"/>
    </xf>
    <xf numFmtId="167" fontId="9" fillId="0" borderId="1" xfId="2" applyNumberFormat="1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 wrapText="1"/>
    </xf>
    <xf numFmtId="1" fontId="31" fillId="0" borderId="1" xfId="2" applyNumberFormat="1" applyFont="1" applyBorder="1" applyAlignment="1">
      <alignment horizontal="center" vertical="center" wrapText="1"/>
    </xf>
    <xf numFmtId="1" fontId="30" fillId="0" borderId="1" xfId="2" applyNumberFormat="1" applyFont="1" applyBorder="1" applyAlignment="1">
      <alignment horizontal="center" vertical="center"/>
    </xf>
    <xf numFmtId="1" fontId="30" fillId="0" borderId="6" xfId="2" applyNumberFormat="1" applyFont="1" applyBorder="1" applyAlignment="1">
      <alignment horizontal="center" vertical="center" wrapText="1"/>
    </xf>
    <xf numFmtId="0" fontId="30" fillId="8" borderId="1" xfId="2" applyFont="1" applyFill="1" applyBorder="1" applyAlignment="1">
      <alignment horizontal="center" vertical="center"/>
    </xf>
    <xf numFmtId="2" fontId="30" fillId="8" borderId="1" xfId="2" applyNumberFormat="1" applyFont="1" applyFill="1" applyBorder="1" applyAlignment="1">
      <alignment horizontal="center" vertical="center"/>
    </xf>
    <xf numFmtId="0" fontId="32" fillId="0" borderId="0" xfId="2" applyFont="1" applyAlignment="1">
      <alignment horizontal="center" vertical="center"/>
    </xf>
    <xf numFmtId="2" fontId="23" fillId="0" borderId="0" xfId="2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167" fontId="4" fillId="0" borderId="1" xfId="3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5" fontId="3" fillId="0" borderId="1" xfId="3" applyNumberFormat="1" applyFont="1" applyBorder="1" applyAlignment="1">
      <alignment horizontal="center" vertical="center"/>
    </xf>
    <xf numFmtId="22" fontId="35" fillId="0" borderId="1" xfId="3" applyNumberFormat="1" applyFont="1" applyBorder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34" fillId="10" borderId="1" xfId="3" applyFont="1" applyFill="1" applyBorder="1" applyAlignment="1">
      <alignment horizontal="center" vertical="center" wrapText="1"/>
    </xf>
    <xf numFmtId="167" fontId="34" fillId="10" borderId="1" xfId="3" applyNumberFormat="1" applyFont="1" applyFill="1" applyBorder="1" applyAlignment="1">
      <alignment horizontal="center" vertical="center" wrapText="1"/>
    </xf>
    <xf numFmtId="0" fontId="3" fillId="10" borderId="1" xfId="3" applyFont="1" applyFill="1" applyBorder="1" applyAlignment="1">
      <alignment horizontal="center" vertical="center" wrapText="1"/>
    </xf>
    <xf numFmtId="0" fontId="36" fillId="8" borderId="4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9" fontId="9" fillId="0" borderId="0" xfId="3" applyNumberFormat="1" applyFont="1" applyAlignment="1">
      <alignment horizontal="center" vertical="center"/>
    </xf>
    <xf numFmtId="0" fontId="9" fillId="12" borderId="1" xfId="3" applyFont="1" applyFill="1" applyBorder="1" applyAlignment="1">
      <alignment horizontal="center" vertical="center"/>
    </xf>
    <xf numFmtId="166" fontId="9" fillId="12" borderId="1" xfId="3" applyNumberFormat="1" applyFont="1" applyFill="1" applyBorder="1" applyAlignment="1">
      <alignment horizontal="center" vertical="center"/>
    </xf>
    <xf numFmtId="0" fontId="4" fillId="12" borderId="1" xfId="3" applyFont="1" applyFill="1" applyBorder="1" applyAlignment="1">
      <alignment horizontal="center" vertical="center" wrapText="1"/>
    </xf>
    <xf numFmtId="0" fontId="9" fillId="12" borderId="1" xfId="3" quotePrefix="1" applyFont="1" applyFill="1" applyBorder="1" applyAlignment="1">
      <alignment horizontal="center" vertical="center"/>
    </xf>
    <xf numFmtId="16" fontId="8" fillId="12" borderId="1" xfId="3" applyNumberFormat="1" applyFont="1" applyFill="1" applyBorder="1" applyAlignment="1">
      <alignment horizontal="center" vertical="center"/>
    </xf>
    <xf numFmtId="2" fontId="9" fillId="12" borderId="1" xfId="3" quotePrefix="1" applyNumberFormat="1" applyFont="1" applyFill="1" applyBorder="1" applyAlignment="1">
      <alignment horizontal="center" vertical="center"/>
    </xf>
    <xf numFmtId="2" fontId="4" fillId="12" borderId="1" xfId="3" applyNumberFormat="1" applyFont="1" applyFill="1" applyBorder="1" applyAlignment="1">
      <alignment horizontal="center" vertical="center"/>
    </xf>
    <xf numFmtId="1" fontId="37" fillId="12" borderId="1" xfId="3" applyNumberFormat="1" applyFont="1" applyFill="1" applyBorder="1" applyAlignment="1">
      <alignment horizontal="center" vertical="center"/>
    </xf>
    <xf numFmtId="0" fontId="35" fillId="12" borderId="1" xfId="3" applyFont="1" applyFill="1" applyBorder="1" applyAlignment="1">
      <alignment horizontal="center" vertical="center"/>
    </xf>
    <xf numFmtId="167" fontId="18" fillId="12" borderId="1" xfId="3" applyNumberFormat="1" applyFont="1" applyFill="1" applyBorder="1" applyAlignment="1">
      <alignment horizontal="center" vertical="center"/>
    </xf>
    <xf numFmtId="0" fontId="4" fillId="12" borderId="1" xfId="3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168" fontId="4" fillId="0" borderId="0" xfId="3" applyNumberFormat="1" applyFont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2" fontId="4" fillId="0" borderId="1" xfId="3" applyNumberFormat="1" applyFont="1" applyBorder="1" applyAlignment="1">
      <alignment horizontal="center" vertical="center"/>
    </xf>
    <xf numFmtId="1" fontId="37" fillId="0" borderId="1" xfId="3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/>
    </xf>
    <xf numFmtId="0" fontId="37" fillId="7" borderId="1" xfId="3" applyFont="1" applyFill="1" applyBorder="1" applyAlignment="1">
      <alignment horizontal="center" vertical="center"/>
    </xf>
    <xf numFmtId="0" fontId="8" fillId="7" borderId="1" xfId="3" applyFont="1" applyFill="1" applyBorder="1" applyAlignment="1">
      <alignment horizontal="center" vertical="center"/>
    </xf>
    <xf numFmtId="2" fontId="37" fillId="7" borderId="1" xfId="3" applyNumberFormat="1" applyFont="1" applyFill="1" applyBorder="1" applyAlignment="1">
      <alignment horizontal="center" vertical="center"/>
    </xf>
    <xf numFmtId="1" fontId="37" fillId="7" borderId="1" xfId="3" applyNumberFormat="1" applyFont="1" applyFill="1" applyBorder="1" applyAlignment="1">
      <alignment horizontal="center" vertical="center"/>
    </xf>
    <xf numFmtId="0" fontId="1" fillId="0" borderId="0" xfId="3"/>
    <xf numFmtId="0" fontId="9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9" fillId="12" borderId="1" xfId="0" quotePrefix="1" applyFont="1" applyFill="1" applyBorder="1" applyAlignment="1">
      <alignment horizontal="center" vertical="center"/>
    </xf>
    <xf numFmtId="16" fontId="8" fillId="12" borderId="1" xfId="0" applyNumberFormat="1" applyFont="1" applyFill="1" applyBorder="1" applyAlignment="1">
      <alignment horizontal="center" vertical="center"/>
    </xf>
    <xf numFmtId="2" fontId="9" fillId="12" borderId="1" xfId="0" quotePrefix="1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38" fillId="0" borderId="1" xfId="0" applyFont="1" applyBorder="1" applyAlignment="1" applyProtection="1">
      <alignment horizontal="center" vertical="center"/>
      <protection locked="0"/>
    </xf>
    <xf numFmtId="165" fontId="39" fillId="0" borderId="0" xfId="0" applyNumberFormat="1" applyFont="1" applyAlignment="1">
      <alignment vertical="center"/>
    </xf>
    <xf numFmtId="165" fontId="39" fillId="0" borderId="0" xfId="0" applyNumberFormat="1" applyFont="1" applyAlignment="1">
      <alignment horizontal="left" vertical="center"/>
    </xf>
    <xf numFmtId="166" fontId="39" fillId="0" borderId="0" xfId="0" applyNumberFormat="1" applyFont="1" applyAlignment="1">
      <alignment horizontal="center" vertical="center"/>
    </xf>
    <xf numFmtId="0" fontId="4" fillId="0" borderId="0" xfId="7" applyFont="1" applyAlignment="1">
      <alignment horizontal="center" vertical="center"/>
    </xf>
    <xf numFmtId="167" fontId="4" fillId="0" borderId="0" xfId="7" applyNumberFormat="1" applyFont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4" fillId="0" borderId="0" xfId="7" applyFont="1" applyAlignment="1">
      <alignment horizontal="center" vertical="center" wrapText="1"/>
    </xf>
    <xf numFmtId="0" fontId="16" fillId="0" borderId="0" xfId="7" applyFont="1" applyAlignment="1">
      <alignment horizontal="center" vertical="center"/>
    </xf>
    <xf numFmtId="0" fontId="8" fillId="0" borderId="0" xfId="7" applyFont="1" applyAlignment="1">
      <alignment horizontal="center" vertical="center"/>
    </xf>
    <xf numFmtId="2" fontId="9" fillId="0" borderId="1" xfId="0" quotePrefix="1" applyNumberFormat="1" applyFont="1" applyFill="1" applyBorder="1" applyAlignment="1">
      <alignment horizontal="center" vertical="center"/>
    </xf>
    <xf numFmtId="0" fontId="4" fillId="0" borderId="1" xfId="7" applyFont="1" applyBorder="1" applyAlignment="1">
      <alignment horizontal="center" vertical="center" wrapText="1"/>
    </xf>
    <xf numFmtId="2" fontId="9" fillId="0" borderId="1" xfId="7" quotePrefix="1" applyNumberFormat="1" applyFont="1" applyFill="1" applyBorder="1" applyAlignment="1">
      <alignment horizontal="center" vertical="center"/>
    </xf>
    <xf numFmtId="0" fontId="33" fillId="13" borderId="0" xfId="7" applyFont="1" applyFill="1" applyAlignment="1">
      <alignment horizontal="center"/>
    </xf>
    <xf numFmtId="0" fontId="33" fillId="13" borderId="0" xfId="7" applyFont="1" applyFill="1" applyAlignment="1">
      <alignment horizontal="center" vertical="center"/>
    </xf>
    <xf numFmtId="0" fontId="33" fillId="0" borderId="0" xfId="7" applyFont="1" applyAlignment="1">
      <alignment horizontal="center" vertical="center"/>
    </xf>
    <xf numFmtId="0" fontId="4" fillId="0" borderId="1" xfId="7" applyFont="1" applyBorder="1" applyAlignment="1">
      <alignment horizontal="center" vertical="center"/>
    </xf>
    <xf numFmtId="167" fontId="4" fillId="0" borderId="1" xfId="7" applyNumberFormat="1" applyFont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15" fontId="3" fillId="0" borderId="1" xfId="7" applyNumberFormat="1" applyFont="1" applyBorder="1" applyAlignment="1">
      <alignment horizontal="center" vertical="center"/>
    </xf>
    <xf numFmtId="0" fontId="34" fillId="10" borderId="1" xfId="7" applyFont="1" applyFill="1" applyBorder="1" applyAlignment="1">
      <alignment horizontal="center" vertical="center"/>
    </xf>
    <xf numFmtId="167" fontId="34" fillId="10" borderId="1" xfId="7" applyNumberFormat="1" applyFont="1" applyFill="1" applyBorder="1" applyAlignment="1">
      <alignment horizontal="center" vertical="center"/>
    </xf>
    <xf numFmtId="0" fontId="34" fillId="10" borderId="10" xfId="7" applyFont="1" applyFill="1" applyBorder="1" applyAlignment="1">
      <alignment horizontal="center" vertical="center"/>
    </xf>
    <xf numFmtId="0" fontId="3" fillId="10" borderId="1" xfId="7" applyFont="1" applyFill="1" applyBorder="1" applyAlignment="1">
      <alignment horizontal="center" vertical="center"/>
    </xf>
    <xf numFmtId="0" fontId="34" fillId="10" borderId="1" xfId="7" applyFont="1" applyFill="1" applyBorder="1" applyAlignment="1">
      <alignment horizontal="center" vertical="center" wrapText="1"/>
    </xf>
    <xf numFmtId="0" fontId="14" fillId="9" borderId="1" xfId="22" applyFont="1" applyFill="1" applyBorder="1" applyAlignment="1">
      <alignment horizontal="center" vertical="center" wrapText="1"/>
    </xf>
    <xf numFmtId="0" fontId="35" fillId="10" borderId="1" xfId="7" applyFont="1" applyFill="1" applyBorder="1" applyAlignment="1">
      <alignment horizontal="center" vertical="center" wrapText="1"/>
    </xf>
    <xf numFmtId="0" fontId="36" fillId="8" borderId="1" xfId="7" applyFont="1" applyFill="1" applyBorder="1" applyAlignment="1">
      <alignment horizontal="left" vertical="center"/>
    </xf>
    <xf numFmtId="0" fontId="36" fillId="8" borderId="1" xfId="7" applyFont="1" applyFill="1" applyBorder="1" applyAlignment="1">
      <alignment horizontal="center" vertical="center"/>
    </xf>
    <xf numFmtId="0" fontId="36" fillId="8" borderId="4" xfId="7" applyFont="1" applyFill="1" applyBorder="1" applyAlignment="1">
      <alignment horizontal="center" vertical="center"/>
    </xf>
    <xf numFmtId="0" fontId="36" fillId="11" borderId="7" xfId="7" applyFont="1" applyFill="1" applyBorder="1" applyAlignment="1">
      <alignment horizontal="center" vertical="center"/>
    </xf>
    <xf numFmtId="0" fontId="36" fillId="11" borderId="8" xfId="7" applyFont="1" applyFill="1" applyBorder="1" applyAlignment="1">
      <alignment horizontal="center" vertical="center"/>
    </xf>
    <xf numFmtId="0" fontId="36" fillId="11" borderId="9" xfId="7" applyFont="1" applyFill="1" applyBorder="1" applyAlignment="1">
      <alignment horizontal="center" vertical="center"/>
    </xf>
    <xf numFmtId="168" fontId="4" fillId="0" borderId="0" xfId="7" applyNumberFormat="1" applyFont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166" fontId="9" fillId="0" borderId="1" xfId="7" applyNumberFormat="1" applyFont="1" applyBorder="1" applyAlignment="1">
      <alignment horizontal="center" vertical="center"/>
    </xf>
    <xf numFmtId="0" fontId="9" fillId="0" borderId="1" xfId="7" quotePrefix="1" applyFont="1" applyBorder="1" applyAlignment="1">
      <alignment horizontal="center" vertical="center"/>
    </xf>
    <xf numFmtId="16" fontId="8" fillId="0" borderId="1" xfId="7" applyNumberFormat="1" applyFont="1" applyBorder="1" applyAlignment="1">
      <alignment horizontal="center" vertical="center"/>
    </xf>
    <xf numFmtId="2" fontId="4" fillId="0" borderId="1" xfId="7" applyNumberFormat="1" applyFont="1" applyFill="1" applyBorder="1" applyAlignment="1">
      <alignment horizontal="center" vertical="center"/>
    </xf>
    <xf numFmtId="1" fontId="3" fillId="0" borderId="1" xfId="7" applyNumberFormat="1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  <xf numFmtId="2" fontId="4" fillId="0" borderId="1" xfId="7" applyNumberFormat="1" applyFont="1" applyBorder="1" applyAlignment="1">
      <alignment horizontal="center" vertical="center"/>
    </xf>
    <xf numFmtId="2" fontId="3" fillId="0" borderId="4" xfId="7" applyNumberFormat="1" applyFont="1" applyBorder="1" applyAlignment="1">
      <alignment horizontal="center" vertical="center"/>
    </xf>
    <xf numFmtId="9" fontId="57" fillId="0" borderId="0" xfId="7" applyNumberFormat="1" applyFont="1" applyAlignment="1">
      <alignment horizontal="center" vertical="center"/>
    </xf>
    <xf numFmtId="0" fontId="58" fillId="7" borderId="1" xfId="7" applyFont="1" applyFill="1" applyBorder="1" applyAlignment="1">
      <alignment horizontal="center" vertical="center"/>
    </xf>
    <xf numFmtId="0" fontId="59" fillId="14" borderId="1" xfId="7" applyFont="1" applyFill="1" applyBorder="1" applyAlignment="1">
      <alignment horizontal="center" vertical="center"/>
    </xf>
    <xf numFmtId="2" fontId="58" fillId="7" borderId="1" xfId="7" applyNumberFormat="1" applyFont="1" applyFill="1" applyBorder="1" applyAlignment="1">
      <alignment horizontal="center" vertical="center"/>
    </xf>
    <xf numFmtId="2" fontId="58" fillId="7" borderId="4" xfId="7" applyNumberFormat="1" applyFont="1" applyFill="1" applyBorder="1" applyAlignment="1">
      <alignment horizontal="center" vertical="center"/>
    </xf>
    <xf numFmtId="0" fontId="57" fillId="7" borderId="1" xfId="7" applyFont="1" applyFill="1" applyBorder="1" applyAlignment="1">
      <alignment horizontal="center" vertical="center" wrapText="1"/>
    </xf>
    <xf numFmtId="0" fontId="57" fillId="0" borderId="0" xfId="7" applyFont="1" applyAlignment="1">
      <alignment horizontal="center" vertical="center"/>
    </xf>
    <xf numFmtId="0" fontId="9" fillId="0" borderId="1" xfId="7" applyFont="1" applyFill="1" applyBorder="1" applyAlignment="1">
      <alignment horizontal="center" vertical="center"/>
    </xf>
    <xf numFmtId="166" fontId="9" fillId="0" borderId="1" xfId="7" applyNumberFormat="1" applyFont="1" applyFill="1" applyBorder="1" applyAlignment="1">
      <alignment horizontal="center" vertical="center"/>
    </xf>
    <xf numFmtId="0" fontId="4" fillId="0" borderId="1" xfId="7" applyFont="1" applyFill="1" applyBorder="1" applyAlignment="1">
      <alignment horizontal="center" vertical="center" wrapText="1"/>
    </xf>
    <xf numFmtId="0" fontId="9" fillId="0" borderId="1" xfId="7" quotePrefix="1" applyFont="1" applyFill="1" applyBorder="1" applyAlignment="1">
      <alignment horizontal="center" vertical="center"/>
    </xf>
    <xf numFmtId="16" fontId="8" fillId="0" borderId="1" xfId="7" applyNumberFormat="1" applyFont="1" applyFill="1" applyBorder="1" applyAlignment="1">
      <alignment horizontal="center" vertical="center"/>
    </xf>
    <xf numFmtId="1" fontId="3" fillId="0" borderId="1" xfId="7" applyNumberFormat="1" applyFont="1" applyFill="1" applyBorder="1" applyAlignment="1">
      <alignment horizontal="center" vertical="center"/>
    </xf>
    <xf numFmtId="0" fontId="35" fillId="0" borderId="1" xfId="7" applyFont="1" applyFill="1" applyBorder="1" applyAlignment="1">
      <alignment horizontal="center" vertical="center"/>
    </xf>
    <xf numFmtId="0" fontId="9" fillId="0" borderId="1" xfId="22" applyFont="1" applyBorder="1" applyAlignment="1">
      <alignment horizontal="center" vertical="center"/>
    </xf>
    <xf numFmtId="166" fontId="9" fillId="0" borderId="1" xfId="22" applyNumberFormat="1" applyFont="1" applyBorder="1" applyAlignment="1">
      <alignment horizontal="center" vertical="center"/>
    </xf>
    <xf numFmtId="0" fontId="4" fillId="0" borderId="1" xfId="22" applyFont="1" applyBorder="1" applyAlignment="1">
      <alignment horizontal="center" vertical="center" wrapText="1"/>
    </xf>
    <xf numFmtId="0" fontId="9" fillId="0" borderId="1" xfId="22" quotePrefix="1" applyFont="1" applyBorder="1" applyAlignment="1">
      <alignment horizontal="center" vertical="center"/>
    </xf>
    <xf numFmtId="16" fontId="8" fillId="0" borderId="1" xfId="22" applyNumberFormat="1" applyFont="1" applyBorder="1" applyAlignment="1">
      <alignment horizontal="center" vertical="center"/>
    </xf>
    <xf numFmtId="2" fontId="9" fillId="0" borderId="1" xfId="22" quotePrefix="1" applyNumberFormat="1" applyFont="1" applyBorder="1" applyAlignment="1">
      <alignment horizontal="center" vertical="center"/>
    </xf>
    <xf numFmtId="9" fontId="4" fillId="0" borderId="0" xfId="7" applyNumberFormat="1" applyFont="1" applyAlignment="1">
      <alignment horizontal="center" vertical="center"/>
    </xf>
    <xf numFmtId="167" fontId="18" fillId="0" borderId="1" xfId="7" applyNumberFormat="1" applyFont="1" applyBorder="1" applyAlignment="1">
      <alignment horizontal="center" vertical="center"/>
    </xf>
    <xf numFmtId="0" fontId="60" fillId="0" borderId="1" xfId="7" applyFont="1" applyBorder="1" applyAlignment="1">
      <alignment horizontal="center" vertical="center"/>
    </xf>
    <xf numFmtId="0" fontId="18" fillId="0" borderId="1" xfId="7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8" fontId="61" fillId="0" borderId="0" xfId="7" applyNumberFormat="1" applyFont="1" applyAlignment="1">
      <alignment horizontal="center" vertical="center"/>
    </xf>
    <xf numFmtId="0" fontId="61" fillId="0" borderId="0" xfId="7" applyFont="1" applyAlignment="1">
      <alignment horizontal="center" vertical="center"/>
    </xf>
    <xf numFmtId="168" fontId="57" fillId="0" borderId="0" xfId="7" applyNumberFormat="1" applyFont="1" applyAlignment="1">
      <alignment horizontal="center" vertical="center"/>
    </xf>
    <xf numFmtId="0" fontId="4" fillId="0" borderId="1" xfId="7" applyFont="1" applyFill="1" applyBorder="1" applyAlignment="1">
      <alignment horizontal="center" vertical="center"/>
    </xf>
    <xf numFmtId="0" fontId="58" fillId="7" borderId="10" xfId="7" applyFont="1" applyFill="1" applyBorder="1" applyAlignment="1">
      <alignment horizontal="center" vertical="center"/>
    </xf>
    <xf numFmtId="2" fontId="9" fillId="0" borderId="1" xfId="22" quotePrefix="1" applyNumberFormat="1" applyFont="1" applyFill="1" applyBorder="1" applyAlignment="1">
      <alignment horizontal="center" vertical="center"/>
    </xf>
    <xf numFmtId="0" fontId="9" fillId="12" borderId="1" xfId="7" applyFont="1" applyFill="1" applyBorder="1" applyAlignment="1">
      <alignment horizontal="center" vertical="center"/>
    </xf>
    <xf numFmtId="166" fontId="9" fillId="12" borderId="1" xfId="7" applyNumberFormat="1" applyFont="1" applyFill="1" applyBorder="1" applyAlignment="1">
      <alignment horizontal="center" vertical="center"/>
    </xf>
    <xf numFmtId="0" fontId="4" fillId="12" borderId="1" xfId="7" applyFont="1" applyFill="1" applyBorder="1" applyAlignment="1">
      <alignment horizontal="center" vertical="center" wrapText="1"/>
    </xf>
    <xf numFmtId="0" fontId="9" fillId="12" borderId="1" xfId="7" quotePrefix="1" applyFont="1" applyFill="1" applyBorder="1" applyAlignment="1">
      <alignment horizontal="center" vertical="center"/>
    </xf>
    <xf numFmtId="16" fontId="8" fillId="12" borderId="1" xfId="7" applyNumberFormat="1" applyFont="1" applyFill="1" applyBorder="1" applyAlignment="1">
      <alignment horizontal="center" vertical="center"/>
    </xf>
    <xf numFmtId="2" fontId="9" fillId="12" borderId="1" xfId="7" quotePrefix="1" applyNumberFormat="1" applyFont="1" applyFill="1" applyBorder="1" applyAlignment="1">
      <alignment horizontal="center" vertical="center"/>
    </xf>
    <xf numFmtId="2" fontId="4" fillId="12" borderId="1" xfId="7" applyNumberFormat="1" applyFont="1" applyFill="1" applyBorder="1" applyAlignment="1">
      <alignment horizontal="center" vertical="center"/>
    </xf>
    <xf numFmtId="1" fontId="3" fillId="12" borderId="1" xfId="7" applyNumberFormat="1" applyFont="1" applyFill="1" applyBorder="1" applyAlignment="1">
      <alignment horizontal="center" vertical="center"/>
    </xf>
    <xf numFmtId="0" fontId="35" fillId="12" borderId="1" xfId="7" applyFont="1" applyFill="1" applyBorder="1" applyAlignment="1">
      <alignment horizontal="center" vertical="center"/>
    </xf>
    <xf numFmtId="16" fontId="4" fillId="0" borderId="1" xfId="7" applyNumberFormat="1" applyFont="1" applyBorder="1" applyAlignment="1">
      <alignment horizontal="center" vertical="center"/>
    </xf>
    <xf numFmtId="9" fontId="4" fillId="2" borderId="1" xfId="7" applyNumberFormat="1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/>
    </xf>
    <xf numFmtId="0" fontId="36" fillId="11" borderId="4" xfId="7" applyFont="1" applyFill="1" applyBorder="1" applyAlignment="1">
      <alignment horizontal="center" vertical="center"/>
    </xf>
    <xf numFmtId="0" fontId="36" fillId="11" borderId="5" xfId="7" applyFont="1" applyFill="1" applyBorder="1" applyAlignment="1">
      <alignment horizontal="center" vertical="center"/>
    </xf>
    <xf numFmtId="0" fontId="36" fillId="11" borderId="3" xfId="7" applyFont="1" applyFill="1" applyBorder="1" applyAlignment="1">
      <alignment horizontal="center" vertical="center"/>
    </xf>
    <xf numFmtId="0" fontId="3" fillId="0" borderId="1" xfId="7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 vertical="center"/>
    </xf>
    <xf numFmtId="0" fontId="62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63" fillId="15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center" vertical="center"/>
    </xf>
    <xf numFmtId="0" fontId="63" fillId="15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63" fillId="15" borderId="4" xfId="0" applyFont="1" applyFill="1" applyBorder="1" applyAlignment="1">
      <alignment horizontal="left" vertical="center"/>
    </xf>
    <xf numFmtId="0" fontId="17" fillId="15" borderId="4" xfId="0" applyFont="1" applyFill="1" applyBorder="1" applyAlignment="1">
      <alignment vertical="center"/>
    </xf>
    <xf numFmtId="0" fontId="17" fillId="16" borderId="1" xfId="0" applyFont="1" applyFill="1" applyBorder="1" applyAlignment="1">
      <alignment horizontal="center" vertical="center"/>
    </xf>
    <xf numFmtId="0" fontId="3" fillId="18" borderId="0" xfId="0" applyFont="1" applyFill="1"/>
    <xf numFmtId="0" fontId="63" fillId="15" borderId="5" xfId="0" applyFont="1" applyFill="1" applyBorder="1" applyAlignment="1">
      <alignment horizontal="center" vertical="center"/>
    </xf>
    <xf numFmtId="0" fontId="63" fillId="15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/>
    </xf>
    <xf numFmtId="0" fontId="17" fillId="8" borderId="7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63" fillId="15" borderId="4" xfId="0" applyFont="1" applyFill="1" applyBorder="1" applyAlignment="1">
      <alignment horizontal="center" vertical="center"/>
    </xf>
    <xf numFmtId="0" fontId="63" fillId="15" borderId="5" xfId="0" applyFont="1" applyFill="1" applyBorder="1" applyAlignment="1">
      <alignment horizontal="center" vertical="center"/>
    </xf>
    <xf numFmtId="0" fontId="63" fillId="15" borderId="3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0" fontId="58" fillId="7" borderId="4" xfId="7" applyFont="1" applyFill="1" applyBorder="1" applyAlignment="1">
      <alignment horizontal="center" vertical="center"/>
    </xf>
    <xf numFmtId="0" fontId="58" fillId="7" borderId="5" xfId="7" applyFont="1" applyFill="1" applyBorder="1" applyAlignment="1">
      <alignment horizontal="center" vertical="center"/>
    </xf>
    <xf numFmtId="0" fontId="58" fillId="7" borderId="3" xfId="7" applyFont="1" applyFill="1" applyBorder="1" applyAlignment="1">
      <alignment horizontal="center" vertical="center"/>
    </xf>
    <xf numFmtId="0" fontId="3" fillId="3" borderId="4" xfId="7" applyFont="1" applyFill="1" applyBorder="1" applyAlignment="1">
      <alignment horizontal="center" vertical="center"/>
    </xf>
    <xf numFmtId="0" fontId="3" fillId="3" borderId="5" xfId="7" applyFont="1" applyFill="1" applyBorder="1" applyAlignment="1">
      <alignment horizontal="center" vertical="center"/>
    </xf>
    <xf numFmtId="0" fontId="3" fillId="3" borderId="3" xfId="7" applyFont="1" applyFill="1" applyBorder="1" applyAlignment="1">
      <alignment horizontal="center" vertical="center"/>
    </xf>
    <xf numFmtId="0" fontId="33" fillId="8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 vertical="center"/>
    </xf>
    <xf numFmtId="0" fontId="33" fillId="8" borderId="3" xfId="3" applyFont="1" applyFill="1" applyBorder="1" applyAlignment="1">
      <alignment horizontal="center" vertical="center"/>
    </xf>
    <xf numFmtId="0" fontId="36" fillId="11" borderId="7" xfId="3" applyFont="1" applyFill="1" applyBorder="1" applyAlignment="1">
      <alignment horizontal="center" vertical="center"/>
    </xf>
    <xf numFmtId="0" fontId="36" fillId="11" borderId="8" xfId="3" applyFont="1" applyFill="1" applyBorder="1" applyAlignment="1">
      <alignment horizontal="center" vertical="center"/>
    </xf>
    <xf numFmtId="0" fontId="36" fillId="11" borderId="9" xfId="3" applyFont="1" applyFill="1" applyBorder="1" applyAlignment="1">
      <alignment horizontal="center" vertical="center"/>
    </xf>
    <xf numFmtId="0" fontId="37" fillId="7" borderId="4" xfId="3" applyFont="1" applyFill="1" applyBorder="1" applyAlignment="1">
      <alignment horizontal="center" vertical="center"/>
    </xf>
    <xf numFmtId="0" fontId="37" fillId="7" borderId="5" xfId="3" applyFont="1" applyFill="1" applyBorder="1" applyAlignment="1">
      <alignment horizontal="center" vertical="center"/>
    </xf>
    <xf numFmtId="0" fontId="37" fillId="7" borderId="3" xfId="3" applyFont="1" applyFill="1" applyBorder="1" applyAlignment="1">
      <alignment horizontal="center" vertical="center"/>
    </xf>
    <xf numFmtId="0" fontId="27" fillId="3" borderId="1" xfId="2" applyFont="1" applyFill="1" applyBorder="1" applyAlignment="1">
      <alignment horizontal="center" vertical="center"/>
    </xf>
    <xf numFmtId="0" fontId="30" fillId="8" borderId="1" xfId="2" applyFont="1" applyFill="1" applyBorder="1" applyAlignment="1">
      <alignment horizontal="center" vertical="center"/>
    </xf>
  </cellXfs>
  <cellStyles count="23">
    <cellStyle name="Comma" xfId="1" builtinId="3"/>
    <cellStyle name="Comma 2" xfId="5"/>
    <cellStyle name="Normal" xfId="0" builtinId="0"/>
    <cellStyle name="Normal 10" xfId="13"/>
    <cellStyle name="Normal 11" xfId="14"/>
    <cellStyle name="Normal 12" xfId="15"/>
    <cellStyle name="Normal 13" xfId="16"/>
    <cellStyle name="Normal 14" xfId="17"/>
    <cellStyle name="Normal 15" xfId="18"/>
    <cellStyle name="Normal 16" xfId="19"/>
    <cellStyle name="Normal 17" xfId="20"/>
    <cellStyle name="Normal 18" xfId="21"/>
    <cellStyle name="Normal 19" xfId="22"/>
    <cellStyle name="Normal 2" xfId="2"/>
    <cellStyle name="Normal 3" xfId="3"/>
    <cellStyle name="Normal 4" xfId="4"/>
    <cellStyle name="Normal 5" xfId="6"/>
    <cellStyle name="Normal 5 2" xfId="7"/>
    <cellStyle name="Normal 6" xfId="8"/>
    <cellStyle name="Normal 7" xfId="9"/>
    <cellStyle name="Normal 8" xfId="10"/>
    <cellStyle name="Normal 8 2" xfId="11"/>
    <cellStyle name="Normal 9" xfId="12"/>
  </cellStyles>
  <dxfs count="230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CCFFCC"/>
      <color rgb="FF99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thosh-pc\d\DAILY%20STOCK\SLN%20DAILY%20WORKS\SUPPLIER%20RECIEPT%20&amp;%20SALES%20STATEMENT\LOG-2026-27\MANU%20Apr-26%20TO%20Mar-27\MANU%20Jun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thosh-pc\d\DAILY%20STOCK\SLN%20DAILY%20WORKS\SUPPLIER%20RECIEPT%20&amp;%20SALES%20STATEMENT\LOG-2024-25\MANU%20Apr-24%20to%20Mar-25\MANU%20Dec-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thosh-pc\d\DAILY%20STOCK\SLN%20DAILY%20WORKS\SUPPLIER%20STOCK%20STATEMENT\MANU%20STOCK%20Sep-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ceipt"/>
      <sheetName val="SKF Sales"/>
      <sheetName val="SKF STOCK"/>
      <sheetName val="REJECTION DETAIL"/>
      <sheetName val="REJECTION DETAILS"/>
      <sheetName val="Manu Inv Wise Stock"/>
      <sheetName val="REJECTION DETAIL 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ceipt"/>
      <sheetName val="SKF Sales"/>
      <sheetName val="SKF STOCK"/>
      <sheetName val="INV WAISE STOCK"/>
      <sheetName val="REJECTION DETAILS"/>
      <sheetName val="REJECTION DETAI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ceipt"/>
      <sheetName val="Issue"/>
      <sheetName val="Stcok"/>
    </sheetNames>
    <sheetDataSet>
      <sheetData sheetId="0">
        <row r="5">
          <cell r="D5">
            <v>0</v>
          </cell>
          <cell r="AJ5">
            <v>0</v>
          </cell>
        </row>
        <row r="6">
          <cell r="D6">
            <v>0</v>
          </cell>
          <cell r="AJ6">
            <v>0</v>
          </cell>
        </row>
        <row r="7">
          <cell r="D7">
            <v>299520</v>
          </cell>
          <cell r="AJ7">
            <v>0</v>
          </cell>
        </row>
        <row r="8">
          <cell r="D8">
            <v>0</v>
          </cell>
          <cell r="AJ8">
            <v>252000</v>
          </cell>
        </row>
        <row r="9">
          <cell r="D9">
            <v>406080</v>
          </cell>
          <cell r="AJ9">
            <v>0</v>
          </cell>
        </row>
        <row r="10">
          <cell r="D10">
            <v>73710</v>
          </cell>
          <cell r="AJ10">
            <v>0</v>
          </cell>
        </row>
        <row r="11">
          <cell r="D11">
            <v>131040</v>
          </cell>
          <cell r="AJ11">
            <v>0</v>
          </cell>
        </row>
        <row r="12">
          <cell r="D12">
            <v>105840</v>
          </cell>
          <cell r="AJ12">
            <v>0</v>
          </cell>
        </row>
        <row r="13">
          <cell r="D13">
            <v>0</v>
          </cell>
          <cell r="AJ13">
            <v>737100</v>
          </cell>
        </row>
        <row r="14">
          <cell r="D14">
            <v>343440</v>
          </cell>
          <cell r="AJ14">
            <v>0</v>
          </cell>
        </row>
        <row r="15">
          <cell r="D15">
            <v>0</v>
          </cell>
          <cell r="AJ15">
            <v>20800</v>
          </cell>
        </row>
        <row r="16">
          <cell r="D16">
            <v>261360</v>
          </cell>
          <cell r="AJ16">
            <v>0</v>
          </cell>
        </row>
        <row r="17">
          <cell r="D17">
            <v>98280</v>
          </cell>
          <cell r="AJ17">
            <v>0</v>
          </cell>
        </row>
        <row r="18">
          <cell r="D18">
            <v>0</v>
          </cell>
          <cell r="AJ18">
            <v>0</v>
          </cell>
        </row>
        <row r="19">
          <cell r="D19">
            <v>32832</v>
          </cell>
          <cell r="AJ19">
            <v>0</v>
          </cell>
        </row>
        <row r="20">
          <cell r="D20">
            <v>72960</v>
          </cell>
          <cell r="AJ20">
            <v>0</v>
          </cell>
        </row>
        <row r="21">
          <cell r="D21">
            <v>53760</v>
          </cell>
          <cell r="AJ21">
            <v>40320</v>
          </cell>
        </row>
        <row r="22">
          <cell r="D22">
            <v>16800</v>
          </cell>
          <cell r="AJ22">
            <v>0</v>
          </cell>
        </row>
        <row r="23">
          <cell r="D23">
            <v>0</v>
          </cell>
          <cell r="AJ23">
            <v>0</v>
          </cell>
        </row>
        <row r="24">
          <cell r="D24">
            <v>80640</v>
          </cell>
          <cell r="AJ24">
            <v>0</v>
          </cell>
        </row>
        <row r="26">
          <cell r="D26">
            <v>141120</v>
          </cell>
          <cell r="AJ26">
            <v>0</v>
          </cell>
        </row>
        <row r="27">
          <cell r="D27">
            <v>29400</v>
          </cell>
          <cell r="AJ27">
            <v>29400</v>
          </cell>
        </row>
        <row r="28">
          <cell r="D28">
            <v>23760</v>
          </cell>
          <cell r="AJ28">
            <v>0</v>
          </cell>
        </row>
        <row r="29">
          <cell r="D29">
            <v>0</v>
          </cell>
          <cell r="AJ29">
            <v>159616</v>
          </cell>
        </row>
        <row r="30">
          <cell r="D30">
            <v>33480</v>
          </cell>
          <cell r="AJ30">
            <v>0</v>
          </cell>
        </row>
        <row r="32">
          <cell r="D32">
            <v>336000</v>
          </cell>
          <cell r="AJ32">
            <v>144000</v>
          </cell>
        </row>
        <row r="33">
          <cell r="D33">
            <v>239400</v>
          </cell>
          <cell r="AJ33">
            <v>0</v>
          </cell>
        </row>
        <row r="34">
          <cell r="D34">
            <v>0</v>
          </cell>
          <cell r="AJ34">
            <v>151200</v>
          </cell>
        </row>
        <row r="35">
          <cell r="D35">
            <v>54000</v>
          </cell>
          <cell r="AJ35">
            <v>72000</v>
          </cell>
        </row>
        <row r="36">
          <cell r="D36">
            <v>90000</v>
          </cell>
          <cell r="AJ36">
            <v>105000</v>
          </cell>
        </row>
        <row r="37">
          <cell r="D37">
            <v>0</v>
          </cell>
          <cell r="AJ37">
            <v>789250</v>
          </cell>
        </row>
        <row r="38">
          <cell r="D38">
            <v>299250</v>
          </cell>
          <cell r="AJ38">
            <v>94500</v>
          </cell>
        </row>
        <row r="39">
          <cell r="D39">
            <v>63000</v>
          </cell>
          <cell r="AJ39">
            <v>703500</v>
          </cell>
        </row>
        <row r="40">
          <cell r="D40">
            <v>577500</v>
          </cell>
          <cell r="AJ40">
            <v>0</v>
          </cell>
        </row>
        <row r="41">
          <cell r="D41">
            <v>395000</v>
          </cell>
          <cell r="AJ41">
            <v>0</v>
          </cell>
        </row>
        <row r="42">
          <cell r="D42">
            <v>0</v>
          </cell>
          <cell r="AJ42">
            <v>144000</v>
          </cell>
        </row>
        <row r="43">
          <cell r="D43">
            <v>157500</v>
          </cell>
          <cell r="AJ43">
            <v>0</v>
          </cell>
        </row>
        <row r="44">
          <cell r="D44">
            <v>0</v>
          </cell>
          <cell r="AJ44">
            <v>0</v>
          </cell>
        </row>
        <row r="45">
          <cell r="D45">
            <v>70000</v>
          </cell>
          <cell r="AJ45">
            <v>0</v>
          </cell>
        </row>
        <row r="46">
          <cell r="D46">
            <v>73500</v>
          </cell>
          <cell r="AJ46">
            <v>101500</v>
          </cell>
        </row>
        <row r="47">
          <cell r="D47">
            <v>60000</v>
          </cell>
          <cell r="AJ47">
            <v>0</v>
          </cell>
        </row>
        <row r="48">
          <cell r="D48">
            <v>102000</v>
          </cell>
          <cell r="AJ48">
            <v>276000</v>
          </cell>
        </row>
        <row r="49">
          <cell r="D49">
            <v>60000</v>
          </cell>
          <cell r="AJ49">
            <v>200000</v>
          </cell>
        </row>
        <row r="50">
          <cell r="D50">
            <v>0</v>
          </cell>
          <cell r="AJ50">
            <v>0</v>
          </cell>
        </row>
        <row r="51">
          <cell r="D51">
            <v>10080</v>
          </cell>
          <cell r="AJ51">
            <v>0</v>
          </cell>
        </row>
        <row r="52">
          <cell r="D52">
            <v>7680</v>
          </cell>
          <cell r="AJ52">
            <v>0</v>
          </cell>
        </row>
        <row r="53">
          <cell r="D53">
            <v>2752</v>
          </cell>
          <cell r="AJ53">
            <v>0</v>
          </cell>
        </row>
        <row r="54">
          <cell r="D54">
            <v>3360</v>
          </cell>
          <cell r="AJ54">
            <v>0</v>
          </cell>
        </row>
        <row r="55">
          <cell r="D55">
            <v>6300</v>
          </cell>
          <cell r="AJ55">
            <v>0</v>
          </cell>
        </row>
        <row r="56">
          <cell r="D56">
            <v>29120</v>
          </cell>
          <cell r="AJ56">
            <v>0</v>
          </cell>
        </row>
        <row r="57">
          <cell r="D57">
            <v>23520</v>
          </cell>
          <cell r="AJ57">
            <v>0</v>
          </cell>
        </row>
        <row r="58">
          <cell r="D58">
            <v>2600</v>
          </cell>
          <cell r="AJ58">
            <v>0</v>
          </cell>
        </row>
        <row r="59">
          <cell r="D59">
            <v>6300</v>
          </cell>
          <cell r="AJ59">
            <v>0</v>
          </cell>
        </row>
        <row r="60">
          <cell r="D60">
            <v>7020</v>
          </cell>
          <cell r="AJ60">
            <v>0</v>
          </cell>
        </row>
      </sheetData>
      <sheetData sheetId="1">
        <row r="5">
          <cell r="AJ5">
            <v>0</v>
          </cell>
          <cell r="AK5">
            <v>0</v>
          </cell>
        </row>
        <row r="6">
          <cell r="AJ6">
            <v>0</v>
          </cell>
          <cell r="AK6">
            <v>0</v>
          </cell>
        </row>
        <row r="7">
          <cell r="AJ7">
            <v>99840</v>
          </cell>
          <cell r="AK7">
            <v>199680</v>
          </cell>
        </row>
        <row r="8">
          <cell r="AJ8">
            <v>0</v>
          </cell>
          <cell r="AK8">
            <v>252000</v>
          </cell>
        </row>
        <row r="9">
          <cell r="AJ9">
            <v>0</v>
          </cell>
          <cell r="AK9">
            <v>406080</v>
          </cell>
        </row>
        <row r="10">
          <cell r="AJ10">
            <v>0</v>
          </cell>
          <cell r="AK10">
            <v>73710</v>
          </cell>
        </row>
        <row r="11">
          <cell r="AJ11">
            <v>0</v>
          </cell>
          <cell r="AK11">
            <v>131040</v>
          </cell>
        </row>
        <row r="12">
          <cell r="AJ12">
            <v>0</v>
          </cell>
          <cell r="AK12">
            <v>105840</v>
          </cell>
        </row>
        <row r="13">
          <cell r="AJ13">
            <v>354900</v>
          </cell>
          <cell r="AK13">
            <v>382200</v>
          </cell>
        </row>
        <row r="14">
          <cell r="AJ14">
            <v>174960</v>
          </cell>
          <cell r="AK14">
            <v>168480</v>
          </cell>
        </row>
        <row r="15">
          <cell r="AJ15">
            <v>0</v>
          </cell>
          <cell r="AK15">
            <v>20800</v>
          </cell>
        </row>
        <row r="16">
          <cell r="AJ16">
            <v>0</v>
          </cell>
          <cell r="AK16">
            <v>261360</v>
          </cell>
        </row>
        <row r="17">
          <cell r="AJ17">
            <v>0</v>
          </cell>
          <cell r="AK17">
            <v>98280</v>
          </cell>
        </row>
        <row r="18">
          <cell r="AJ18">
            <v>0</v>
          </cell>
          <cell r="AK18">
            <v>0</v>
          </cell>
        </row>
        <row r="19">
          <cell r="AJ19">
            <v>0</v>
          </cell>
          <cell r="AK19">
            <v>32832</v>
          </cell>
        </row>
        <row r="20">
          <cell r="AJ20">
            <v>0</v>
          </cell>
          <cell r="AK20">
            <v>72960</v>
          </cell>
        </row>
        <row r="21">
          <cell r="AJ21">
            <v>60480</v>
          </cell>
          <cell r="AK21">
            <v>33600</v>
          </cell>
        </row>
        <row r="22">
          <cell r="AJ22">
            <v>0</v>
          </cell>
          <cell r="AK22">
            <v>16800</v>
          </cell>
        </row>
        <row r="23">
          <cell r="AJ23">
            <v>0</v>
          </cell>
          <cell r="AK23">
            <v>0</v>
          </cell>
        </row>
        <row r="24">
          <cell r="AJ24">
            <v>0</v>
          </cell>
          <cell r="AK24">
            <v>80640</v>
          </cell>
        </row>
        <row r="26">
          <cell r="AJ26">
            <v>117600</v>
          </cell>
          <cell r="AK26">
            <v>23520</v>
          </cell>
        </row>
        <row r="27">
          <cell r="AJ27">
            <v>0</v>
          </cell>
          <cell r="AK27">
            <v>58800</v>
          </cell>
        </row>
        <row r="28">
          <cell r="AJ28">
            <v>0</v>
          </cell>
          <cell r="AK28">
            <v>23760</v>
          </cell>
        </row>
        <row r="29">
          <cell r="AJ29">
            <v>0</v>
          </cell>
          <cell r="AK29">
            <v>159616</v>
          </cell>
        </row>
        <row r="30">
          <cell r="AJ30">
            <v>0</v>
          </cell>
          <cell r="AK30">
            <v>33480</v>
          </cell>
        </row>
        <row r="32">
          <cell r="AJ32">
            <v>0</v>
          </cell>
          <cell r="AK32">
            <v>480000</v>
          </cell>
        </row>
        <row r="33">
          <cell r="AJ33">
            <v>163800</v>
          </cell>
          <cell r="AK33">
            <v>75600</v>
          </cell>
        </row>
        <row r="34">
          <cell r="AJ34">
            <v>151200</v>
          </cell>
          <cell r="AK34">
            <v>0</v>
          </cell>
        </row>
        <row r="35">
          <cell r="AJ35">
            <v>0</v>
          </cell>
          <cell r="AK35">
            <v>126000</v>
          </cell>
        </row>
        <row r="36">
          <cell r="AJ36">
            <v>0</v>
          </cell>
          <cell r="AK36">
            <v>195000</v>
          </cell>
        </row>
        <row r="37">
          <cell r="AJ37">
            <v>0</v>
          </cell>
          <cell r="AK37">
            <v>789250</v>
          </cell>
        </row>
        <row r="38">
          <cell r="AJ38">
            <v>0</v>
          </cell>
          <cell r="AK38">
            <v>393750</v>
          </cell>
        </row>
        <row r="39">
          <cell r="AJ39">
            <v>0</v>
          </cell>
          <cell r="AK39">
            <v>766500</v>
          </cell>
        </row>
        <row r="40">
          <cell r="AJ40">
            <v>135000</v>
          </cell>
          <cell r="AK40">
            <v>442500</v>
          </cell>
        </row>
        <row r="41">
          <cell r="AJ41">
            <v>225000</v>
          </cell>
          <cell r="AK41">
            <v>170000</v>
          </cell>
        </row>
        <row r="42">
          <cell r="AJ42">
            <v>0</v>
          </cell>
          <cell r="AK42">
            <v>144000</v>
          </cell>
        </row>
        <row r="43">
          <cell r="AJ43">
            <v>0</v>
          </cell>
          <cell r="AK43">
            <v>157500</v>
          </cell>
        </row>
        <row r="44">
          <cell r="AJ44">
            <v>0</v>
          </cell>
          <cell r="AK44">
            <v>0</v>
          </cell>
        </row>
        <row r="45">
          <cell r="AJ45">
            <v>0</v>
          </cell>
          <cell r="AK45">
            <v>70000</v>
          </cell>
        </row>
        <row r="46">
          <cell r="AJ46">
            <v>52500</v>
          </cell>
          <cell r="AK46">
            <v>122500</v>
          </cell>
        </row>
        <row r="47">
          <cell r="AJ47">
            <v>0</v>
          </cell>
          <cell r="AK47">
            <v>60000</v>
          </cell>
        </row>
        <row r="48">
          <cell r="AJ48">
            <v>0</v>
          </cell>
          <cell r="AK48">
            <v>378000</v>
          </cell>
        </row>
        <row r="49">
          <cell r="AJ49">
            <v>0</v>
          </cell>
          <cell r="AK49">
            <v>260000</v>
          </cell>
        </row>
        <row r="50">
          <cell r="AJ50">
            <v>0</v>
          </cell>
          <cell r="AK50">
            <v>0</v>
          </cell>
        </row>
        <row r="51">
          <cell r="AJ51">
            <v>0</v>
          </cell>
          <cell r="AK51">
            <v>10080</v>
          </cell>
        </row>
        <row r="52">
          <cell r="AJ52">
            <v>0</v>
          </cell>
          <cell r="AK52">
            <v>7680</v>
          </cell>
        </row>
        <row r="53">
          <cell r="AJ53">
            <v>0</v>
          </cell>
          <cell r="AK53">
            <v>2752</v>
          </cell>
        </row>
        <row r="54">
          <cell r="AJ54">
            <v>0</v>
          </cell>
          <cell r="AK54">
            <v>3360</v>
          </cell>
        </row>
        <row r="55">
          <cell r="AJ55">
            <v>0</v>
          </cell>
          <cell r="AK55">
            <v>6300</v>
          </cell>
        </row>
        <row r="56">
          <cell r="AJ56">
            <v>0</v>
          </cell>
          <cell r="AK56">
            <v>29120</v>
          </cell>
        </row>
        <row r="57">
          <cell r="AJ57">
            <v>0</v>
          </cell>
          <cell r="AK57">
            <v>23520</v>
          </cell>
        </row>
        <row r="58">
          <cell r="AJ58">
            <v>0</v>
          </cell>
          <cell r="AK58">
            <v>2600</v>
          </cell>
        </row>
        <row r="59">
          <cell r="AJ59">
            <v>0</v>
          </cell>
          <cell r="AK59">
            <v>6300</v>
          </cell>
        </row>
        <row r="60">
          <cell r="AJ60">
            <v>0</v>
          </cell>
          <cell r="AK60">
            <v>7020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zoomScale="90" zoomScaleNormal="90" workbookViewId="0">
      <selection activeCell="K18" sqref="K18"/>
    </sheetView>
  </sheetViews>
  <sheetFormatPr defaultRowHeight="21" customHeight="1"/>
  <cols>
    <col min="1" max="1" width="2.85546875" style="5" bestFit="1" customWidth="1"/>
    <col min="2" max="2" width="12.140625" style="5" customWidth="1"/>
    <col min="3" max="4" width="11.85546875" style="25" customWidth="1"/>
    <col min="5" max="5" width="11.85546875" style="5" customWidth="1"/>
    <col min="6" max="6" width="11.85546875" style="25" customWidth="1"/>
    <col min="7" max="7" width="21.5703125" style="5" bestFit="1" customWidth="1"/>
    <col min="8" max="8" width="6.7109375" style="5" customWidth="1"/>
    <col min="9" max="9" width="34.7109375" style="5" customWidth="1"/>
    <col min="10" max="10" width="9.140625" style="5" customWidth="1"/>
    <col min="11" max="11" width="28.7109375" style="5" bestFit="1" customWidth="1"/>
    <col min="12" max="12" width="16" style="5" bestFit="1" customWidth="1"/>
    <col min="13" max="13" width="9.140625" style="5" customWidth="1"/>
    <col min="14" max="14" width="19.5703125" style="5" bestFit="1" customWidth="1"/>
    <col min="15" max="15" width="18.140625" style="5" bestFit="1" customWidth="1"/>
    <col min="16" max="16" width="19.140625" style="5" bestFit="1" customWidth="1"/>
    <col min="17" max="17" width="33.42578125" style="5" bestFit="1" customWidth="1"/>
    <col min="18" max="18" width="11.7109375" style="5" bestFit="1" customWidth="1"/>
    <col min="19" max="20" width="10.140625" style="5" bestFit="1" customWidth="1"/>
    <col min="21" max="16384" width="9.140625" style="5"/>
  </cols>
  <sheetData>
    <row r="1" spans="1:17" ht="21" customHeight="1">
      <c r="B1" s="247" t="s">
        <v>73</v>
      </c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1" customHeight="1">
      <c r="B2" s="35" t="s">
        <v>67</v>
      </c>
      <c r="C2" s="27"/>
      <c r="E2" s="1"/>
      <c r="F2" s="27"/>
      <c r="J2" s="13"/>
      <c r="K2" s="13"/>
      <c r="L2" s="1"/>
      <c r="M2" s="1"/>
      <c r="N2" s="1"/>
      <c r="O2" s="1"/>
      <c r="P2" s="2"/>
      <c r="Q2" s="2"/>
    </row>
    <row r="3" spans="1:17" ht="21" customHeight="1">
      <c r="B3" s="35" t="s">
        <v>64</v>
      </c>
      <c r="C3" s="27"/>
      <c r="E3" s="1"/>
      <c r="F3" s="27"/>
      <c r="H3" s="15"/>
      <c r="J3" s="13"/>
      <c r="K3" s="13"/>
    </row>
    <row r="4" spans="1:17" ht="21" customHeight="1">
      <c r="B4" s="35" t="s">
        <v>65</v>
      </c>
      <c r="C4" s="26"/>
      <c r="E4" s="2"/>
      <c r="F4" s="26"/>
      <c r="H4" s="15"/>
      <c r="J4" s="39"/>
      <c r="K4" s="39"/>
      <c r="L4" s="39"/>
      <c r="M4" s="39"/>
      <c r="N4" s="39"/>
    </row>
    <row r="5" spans="1:17" ht="21" customHeight="1">
      <c r="B5" s="3" t="s">
        <v>66</v>
      </c>
    </row>
    <row r="6" spans="1:17" ht="21" customHeight="1">
      <c r="B6" s="3" t="s">
        <v>25</v>
      </c>
    </row>
    <row r="8" spans="1:17" s="37" customFormat="1" ht="26.25" customHeight="1">
      <c r="B8" s="36" t="s">
        <v>0</v>
      </c>
      <c r="C8" s="40" t="s">
        <v>1</v>
      </c>
      <c r="D8" s="40" t="s">
        <v>6</v>
      </c>
      <c r="E8" s="36" t="s">
        <v>2</v>
      </c>
      <c r="F8" s="40" t="s">
        <v>3</v>
      </c>
      <c r="G8" s="36" t="s">
        <v>4</v>
      </c>
      <c r="H8" s="36" t="s">
        <v>5</v>
      </c>
      <c r="I8" s="36" t="s">
        <v>7</v>
      </c>
      <c r="J8" s="36" t="s">
        <v>8</v>
      </c>
      <c r="K8" s="36" t="s">
        <v>26</v>
      </c>
      <c r="L8" s="36" t="s">
        <v>9</v>
      </c>
      <c r="M8" s="36" t="s">
        <v>23</v>
      </c>
      <c r="N8" s="36" t="s">
        <v>22</v>
      </c>
      <c r="O8" s="36" t="s">
        <v>24</v>
      </c>
      <c r="P8" s="36" t="s">
        <v>10</v>
      </c>
      <c r="Q8" s="36" t="s">
        <v>18</v>
      </c>
    </row>
    <row r="9" spans="1:17" s="4" customFormat="1" ht="21" customHeight="1">
      <c r="A9" s="16"/>
      <c r="B9" s="6">
        <v>2035</v>
      </c>
      <c r="C9" s="28">
        <v>46261</v>
      </c>
      <c r="D9" s="28">
        <v>46266</v>
      </c>
      <c r="E9" s="6">
        <v>64637</v>
      </c>
      <c r="F9" s="28">
        <v>46261</v>
      </c>
      <c r="G9" s="6" t="s">
        <v>71</v>
      </c>
      <c r="H9" s="6">
        <v>55</v>
      </c>
      <c r="I9" s="49" t="s">
        <v>74</v>
      </c>
      <c r="J9" s="11">
        <f>L9/2752*3</f>
        <v>174</v>
      </c>
      <c r="K9" s="6" t="s">
        <v>75</v>
      </c>
      <c r="L9" s="6">
        <v>159616</v>
      </c>
      <c r="M9" s="12">
        <v>6.08</v>
      </c>
      <c r="N9" s="12">
        <f t="shared" ref="N9:N14" si="0">+L9*M9</f>
        <v>970465.28000000003</v>
      </c>
      <c r="O9" s="12">
        <f t="shared" ref="O9:O14" si="1">+N9*18%</f>
        <v>174683.75039999999</v>
      </c>
      <c r="P9" s="8">
        <f t="shared" ref="P9:P10" si="2">SUM(N9:O9)</f>
        <v>1145149.0304</v>
      </c>
      <c r="Q9" s="14"/>
    </row>
    <row r="10" spans="1:17" s="4" customFormat="1" ht="21" customHeight="1">
      <c r="A10" s="16"/>
      <c r="B10" s="6">
        <v>2035</v>
      </c>
      <c r="C10" s="28">
        <v>46261</v>
      </c>
      <c r="D10" s="28">
        <v>46266</v>
      </c>
      <c r="E10" s="6">
        <v>64637</v>
      </c>
      <c r="F10" s="28">
        <v>46261</v>
      </c>
      <c r="G10" s="6" t="s">
        <v>71</v>
      </c>
      <c r="H10" s="6">
        <v>55</v>
      </c>
      <c r="I10" s="49" t="s">
        <v>76</v>
      </c>
      <c r="J10" s="11">
        <f>L10/2240*3</f>
        <v>54</v>
      </c>
      <c r="K10" s="6" t="s">
        <v>77</v>
      </c>
      <c r="L10" s="6">
        <v>40320</v>
      </c>
      <c r="M10" s="12">
        <v>4.34</v>
      </c>
      <c r="N10" s="12">
        <f t="shared" si="0"/>
        <v>174988.79999999999</v>
      </c>
      <c r="O10" s="12">
        <f t="shared" si="1"/>
        <v>31497.983999999997</v>
      </c>
      <c r="P10" s="8">
        <f t="shared" si="2"/>
        <v>206486.78399999999</v>
      </c>
      <c r="Q10" s="14"/>
    </row>
    <row r="11" spans="1:17" s="4" customFormat="1" ht="21" customHeight="1">
      <c r="A11" s="16"/>
      <c r="B11" s="6">
        <v>2035</v>
      </c>
      <c r="C11" s="28">
        <v>46261</v>
      </c>
      <c r="D11" s="28">
        <v>46266</v>
      </c>
      <c r="E11" s="6">
        <v>64637</v>
      </c>
      <c r="F11" s="28">
        <v>46261</v>
      </c>
      <c r="G11" s="6" t="s">
        <v>71</v>
      </c>
      <c r="H11" s="6">
        <v>55</v>
      </c>
      <c r="I11" s="49" t="s">
        <v>78</v>
      </c>
      <c r="J11" s="11">
        <f>L11/12600*3</f>
        <v>60</v>
      </c>
      <c r="K11" s="6" t="s">
        <v>79</v>
      </c>
      <c r="L11" s="6">
        <v>252000</v>
      </c>
      <c r="M11" s="12">
        <v>1.3</v>
      </c>
      <c r="N11" s="12">
        <f t="shared" si="0"/>
        <v>327600</v>
      </c>
      <c r="O11" s="12">
        <f t="shared" si="1"/>
        <v>58968</v>
      </c>
      <c r="P11" s="8">
        <f t="shared" ref="P11:P14" si="3">SUM(N11:O11)</f>
        <v>386568</v>
      </c>
      <c r="Q11" s="14"/>
    </row>
    <row r="12" spans="1:17" s="4" customFormat="1" ht="21" customHeight="1">
      <c r="A12" s="16"/>
      <c r="B12" s="6">
        <v>2035</v>
      </c>
      <c r="C12" s="28">
        <v>46261</v>
      </c>
      <c r="D12" s="28">
        <v>46266</v>
      </c>
      <c r="E12" s="6">
        <v>64637</v>
      </c>
      <c r="F12" s="28">
        <v>46261</v>
      </c>
      <c r="G12" s="6" t="s">
        <v>71</v>
      </c>
      <c r="H12" s="6">
        <v>55</v>
      </c>
      <c r="I12" s="49" t="s">
        <v>80</v>
      </c>
      <c r="J12" s="11">
        <f>L12/9100*3</f>
        <v>243</v>
      </c>
      <c r="K12" s="6" t="s">
        <v>81</v>
      </c>
      <c r="L12" s="6">
        <v>737100</v>
      </c>
      <c r="M12" s="12">
        <v>1.34</v>
      </c>
      <c r="N12" s="12">
        <f t="shared" si="0"/>
        <v>987714.00000000012</v>
      </c>
      <c r="O12" s="12">
        <f t="shared" si="1"/>
        <v>177788.52000000002</v>
      </c>
      <c r="P12" s="8">
        <f t="shared" si="3"/>
        <v>1165502.52</v>
      </c>
      <c r="Q12" s="14"/>
    </row>
    <row r="13" spans="1:17" s="4" customFormat="1" ht="21" customHeight="1">
      <c r="A13" s="16"/>
      <c r="B13" s="6">
        <v>2035</v>
      </c>
      <c r="C13" s="28">
        <v>46261</v>
      </c>
      <c r="D13" s="28">
        <v>46266</v>
      </c>
      <c r="E13" s="6">
        <v>64637</v>
      </c>
      <c r="F13" s="28">
        <v>46261</v>
      </c>
      <c r="G13" s="6" t="s">
        <v>71</v>
      </c>
      <c r="H13" s="6">
        <v>55</v>
      </c>
      <c r="I13" s="49" t="s">
        <v>84</v>
      </c>
      <c r="J13" s="11">
        <f>L13/5200*3</f>
        <v>12</v>
      </c>
      <c r="K13" s="6" t="s">
        <v>85</v>
      </c>
      <c r="L13" s="6">
        <v>20800</v>
      </c>
      <c r="M13" s="12">
        <v>2.5499999999999998</v>
      </c>
      <c r="N13" s="12">
        <f t="shared" si="0"/>
        <v>53039.999999999993</v>
      </c>
      <c r="O13" s="12">
        <f t="shared" si="1"/>
        <v>9547.1999999999989</v>
      </c>
      <c r="P13" s="8">
        <f t="shared" si="3"/>
        <v>62587.19999999999</v>
      </c>
      <c r="Q13" s="14"/>
    </row>
    <row r="14" spans="1:17" s="4" customFormat="1" ht="21" customHeight="1">
      <c r="A14" s="16"/>
      <c r="B14" s="6">
        <v>2035</v>
      </c>
      <c r="C14" s="28">
        <v>46261</v>
      </c>
      <c r="D14" s="28">
        <v>46266</v>
      </c>
      <c r="E14" s="6">
        <v>64637</v>
      </c>
      <c r="F14" s="28">
        <v>46261</v>
      </c>
      <c r="G14" s="6" t="s">
        <v>71</v>
      </c>
      <c r="H14" s="6">
        <v>55</v>
      </c>
      <c r="I14" s="49" t="s">
        <v>82</v>
      </c>
      <c r="J14" s="11">
        <f>L14/4200*3</f>
        <v>21</v>
      </c>
      <c r="K14" s="6" t="s">
        <v>83</v>
      </c>
      <c r="L14" s="6">
        <v>29400</v>
      </c>
      <c r="M14" s="12">
        <v>3</v>
      </c>
      <c r="N14" s="12">
        <f t="shared" si="0"/>
        <v>88200</v>
      </c>
      <c r="O14" s="12">
        <f t="shared" si="1"/>
        <v>15876</v>
      </c>
      <c r="P14" s="8">
        <f t="shared" si="3"/>
        <v>104076</v>
      </c>
      <c r="Q14" s="14"/>
    </row>
    <row r="15" spans="1:17" s="4" customFormat="1" ht="21" customHeight="1">
      <c r="A15" s="16"/>
      <c r="B15" s="6">
        <v>2036</v>
      </c>
      <c r="C15" s="28">
        <v>46261</v>
      </c>
      <c r="D15" s="28">
        <v>46266</v>
      </c>
      <c r="E15" s="6">
        <v>64637</v>
      </c>
      <c r="F15" s="28">
        <v>46261</v>
      </c>
      <c r="G15" s="6" t="s">
        <v>71</v>
      </c>
      <c r="H15" s="6">
        <v>56</v>
      </c>
      <c r="I15" s="49" t="s">
        <v>86</v>
      </c>
      <c r="J15" s="11">
        <v>36</v>
      </c>
      <c r="K15" s="6" t="s">
        <v>100</v>
      </c>
      <c r="L15" s="6">
        <f>36*4000</f>
        <v>144000</v>
      </c>
      <c r="M15" s="12">
        <v>0.89</v>
      </c>
      <c r="N15" s="12">
        <f t="shared" ref="N15" si="4">+L15*M15</f>
        <v>128160</v>
      </c>
      <c r="O15" s="12">
        <f t="shared" ref="O15" si="5">+N15*18%</f>
        <v>23068.799999999999</v>
      </c>
      <c r="P15" s="8">
        <f t="shared" ref="P15" si="6">SUM(N15:O15)</f>
        <v>151228.79999999999</v>
      </c>
      <c r="Q15" s="14"/>
    </row>
    <row r="16" spans="1:17" s="4" customFormat="1" ht="21" customHeight="1">
      <c r="A16" s="16"/>
      <c r="B16" s="6">
        <v>2036</v>
      </c>
      <c r="C16" s="28">
        <v>46261</v>
      </c>
      <c r="D16" s="28">
        <v>46266</v>
      </c>
      <c r="E16" s="6">
        <v>64637</v>
      </c>
      <c r="F16" s="28">
        <v>46261</v>
      </c>
      <c r="G16" s="6" t="s">
        <v>71</v>
      </c>
      <c r="H16" s="6">
        <v>56</v>
      </c>
      <c r="I16" s="49" t="s">
        <v>87</v>
      </c>
      <c r="J16" s="11">
        <v>18</v>
      </c>
      <c r="K16" s="6" t="s">
        <v>101</v>
      </c>
      <c r="L16" s="6">
        <f>18*8400</f>
        <v>151200</v>
      </c>
      <c r="M16" s="12">
        <v>0.68</v>
      </c>
      <c r="N16" s="12">
        <f t="shared" ref="N16:N25" si="7">+L16*M16</f>
        <v>102816.00000000001</v>
      </c>
      <c r="O16" s="12">
        <f t="shared" ref="O16:O25" si="8">+N16*18%</f>
        <v>18506.88</v>
      </c>
      <c r="P16" s="8">
        <f t="shared" ref="P16:P17" si="9">SUM(N16:O16)</f>
        <v>121322.88000000002</v>
      </c>
      <c r="Q16" s="14"/>
    </row>
    <row r="17" spans="1:17" s="4" customFormat="1" ht="21" customHeight="1">
      <c r="A17" s="16"/>
      <c r="B17" s="6">
        <v>2036</v>
      </c>
      <c r="C17" s="28">
        <v>46261</v>
      </c>
      <c r="D17" s="28">
        <v>46266</v>
      </c>
      <c r="E17" s="6">
        <v>64637</v>
      </c>
      <c r="F17" s="28">
        <v>46261</v>
      </c>
      <c r="G17" s="6" t="s">
        <v>71</v>
      </c>
      <c r="H17" s="6">
        <v>56</v>
      </c>
      <c r="I17" s="49" t="s">
        <v>88</v>
      </c>
      <c r="J17" s="11">
        <v>41</v>
      </c>
      <c r="K17" s="6" t="s">
        <v>102</v>
      </c>
      <c r="L17" s="6">
        <f>41*19250</f>
        <v>789250</v>
      </c>
      <c r="M17" s="146">
        <v>0.49</v>
      </c>
      <c r="N17" s="12">
        <f t="shared" si="7"/>
        <v>386732.5</v>
      </c>
      <c r="O17" s="12">
        <f t="shared" si="8"/>
        <v>69611.849999999991</v>
      </c>
      <c r="P17" s="8">
        <f t="shared" si="9"/>
        <v>456344.35</v>
      </c>
      <c r="Q17" s="14"/>
    </row>
    <row r="18" spans="1:17" s="4" customFormat="1" ht="21" customHeight="1">
      <c r="A18" s="16"/>
      <c r="B18" s="6">
        <v>2036</v>
      </c>
      <c r="C18" s="28">
        <v>46261</v>
      </c>
      <c r="D18" s="28">
        <v>46266</v>
      </c>
      <c r="E18" s="6">
        <v>64637</v>
      </c>
      <c r="F18" s="28">
        <v>46261</v>
      </c>
      <c r="G18" s="6" t="s">
        <v>71</v>
      </c>
      <c r="H18" s="6">
        <v>56</v>
      </c>
      <c r="I18" s="49" t="s">
        <v>89</v>
      </c>
      <c r="J18" s="11">
        <v>6</v>
      </c>
      <c r="K18" s="6" t="s">
        <v>90</v>
      </c>
      <c r="L18" s="6">
        <f>6*15750</f>
        <v>94500</v>
      </c>
      <c r="M18" s="12">
        <v>0.52</v>
      </c>
      <c r="N18" s="12">
        <f t="shared" si="7"/>
        <v>49140</v>
      </c>
      <c r="O18" s="12">
        <f t="shared" si="8"/>
        <v>8845.1999999999989</v>
      </c>
      <c r="P18" s="8">
        <f t="shared" ref="P18" si="10">SUM(N18:O18)</f>
        <v>57985.2</v>
      </c>
      <c r="Q18" s="14"/>
    </row>
    <row r="19" spans="1:17" s="4" customFormat="1" ht="21" customHeight="1">
      <c r="A19" s="16"/>
      <c r="B19" s="6">
        <v>2036</v>
      </c>
      <c r="C19" s="28">
        <v>46261</v>
      </c>
      <c r="D19" s="28">
        <v>46266</v>
      </c>
      <c r="E19" s="6">
        <v>64637</v>
      </c>
      <c r="F19" s="28">
        <v>46261</v>
      </c>
      <c r="G19" s="6" t="s">
        <v>71</v>
      </c>
      <c r="H19" s="6">
        <v>56</v>
      </c>
      <c r="I19" s="147" t="s">
        <v>91</v>
      </c>
      <c r="J19" s="11">
        <v>6</v>
      </c>
      <c r="K19" s="6" t="s">
        <v>103</v>
      </c>
      <c r="L19" s="6">
        <f>6*24000</f>
        <v>144000</v>
      </c>
      <c r="M19" s="148">
        <v>0.48</v>
      </c>
      <c r="N19" s="12">
        <f t="shared" si="7"/>
        <v>69120</v>
      </c>
      <c r="O19" s="12">
        <f t="shared" si="8"/>
        <v>12441.6</v>
      </c>
      <c r="P19" s="8">
        <f t="shared" ref="P19" si="11">SUM(N19:O19)</f>
        <v>81561.600000000006</v>
      </c>
      <c r="Q19" s="14"/>
    </row>
    <row r="20" spans="1:17" s="4" customFormat="1" ht="21" customHeight="1">
      <c r="A20" s="16"/>
      <c r="B20" s="6">
        <v>2036</v>
      </c>
      <c r="C20" s="28">
        <v>46261</v>
      </c>
      <c r="D20" s="28">
        <v>46266</v>
      </c>
      <c r="E20" s="6">
        <v>64637</v>
      </c>
      <c r="F20" s="28">
        <v>46261</v>
      </c>
      <c r="G20" s="6" t="s">
        <v>71</v>
      </c>
      <c r="H20" s="6">
        <v>56</v>
      </c>
      <c r="I20" s="49" t="s">
        <v>92</v>
      </c>
      <c r="J20" s="11">
        <v>12</v>
      </c>
      <c r="K20" s="6" t="s">
        <v>104</v>
      </c>
      <c r="L20" s="6">
        <f>12*6000</f>
        <v>72000</v>
      </c>
      <c r="M20" s="146">
        <v>0.82</v>
      </c>
      <c r="N20" s="12">
        <f t="shared" si="7"/>
        <v>59040</v>
      </c>
      <c r="O20" s="12">
        <f t="shared" si="8"/>
        <v>10627.199999999999</v>
      </c>
      <c r="P20" s="8">
        <f t="shared" ref="P20:P21" si="12">SUM(N20:O20)</f>
        <v>69667.199999999997</v>
      </c>
      <c r="Q20" s="14"/>
    </row>
    <row r="21" spans="1:17" s="4" customFormat="1" ht="21" customHeight="1">
      <c r="A21" s="16"/>
      <c r="B21" s="6">
        <v>2036</v>
      </c>
      <c r="C21" s="28">
        <v>46261</v>
      </c>
      <c r="D21" s="28">
        <v>46266</v>
      </c>
      <c r="E21" s="6">
        <v>64637</v>
      </c>
      <c r="F21" s="28">
        <v>46261</v>
      </c>
      <c r="G21" s="6" t="s">
        <v>71</v>
      </c>
      <c r="H21" s="6">
        <v>56</v>
      </c>
      <c r="I21" s="49" t="s">
        <v>94</v>
      </c>
      <c r="J21" s="11">
        <v>21</v>
      </c>
      <c r="K21" s="6" t="s">
        <v>105</v>
      </c>
      <c r="L21" s="6">
        <f>21*5000</f>
        <v>105000</v>
      </c>
      <c r="M21" s="12">
        <v>0.95</v>
      </c>
      <c r="N21" s="12">
        <f t="shared" si="7"/>
        <v>99750</v>
      </c>
      <c r="O21" s="12">
        <f t="shared" si="8"/>
        <v>17955</v>
      </c>
      <c r="P21" s="8">
        <f t="shared" si="12"/>
        <v>117705</v>
      </c>
      <c r="Q21" s="14"/>
    </row>
    <row r="22" spans="1:17" s="4" customFormat="1" ht="21" customHeight="1">
      <c r="A22" s="16"/>
      <c r="B22" s="6">
        <v>2036</v>
      </c>
      <c r="C22" s="28">
        <v>46261</v>
      </c>
      <c r="D22" s="28">
        <v>46266</v>
      </c>
      <c r="E22" s="6">
        <v>64637</v>
      </c>
      <c r="F22" s="28">
        <v>46261</v>
      </c>
      <c r="G22" s="6" t="s">
        <v>71</v>
      </c>
      <c r="H22" s="6">
        <v>56</v>
      </c>
      <c r="I22" s="49" t="s">
        <v>95</v>
      </c>
      <c r="J22" s="11">
        <v>46</v>
      </c>
      <c r="K22" s="6" t="s">
        <v>106</v>
      </c>
      <c r="L22" s="6">
        <f>46*6000</f>
        <v>276000</v>
      </c>
      <c r="M22" s="146">
        <v>0.64</v>
      </c>
      <c r="N22" s="12">
        <f t="shared" si="7"/>
        <v>176640</v>
      </c>
      <c r="O22" s="12">
        <f t="shared" si="8"/>
        <v>31795.199999999997</v>
      </c>
      <c r="P22" s="8">
        <f t="shared" ref="P22" si="13">SUM(N22:O22)</f>
        <v>208435.20000000001</v>
      </c>
      <c r="Q22" s="14"/>
    </row>
    <row r="23" spans="1:17" s="4" customFormat="1" ht="21" customHeight="1">
      <c r="A23" s="16"/>
      <c r="B23" s="6">
        <v>2036</v>
      </c>
      <c r="C23" s="28">
        <v>46261</v>
      </c>
      <c r="D23" s="28">
        <v>46266</v>
      </c>
      <c r="E23" s="6">
        <v>64637</v>
      </c>
      <c r="F23" s="28">
        <v>46261</v>
      </c>
      <c r="G23" s="6" t="s">
        <v>71</v>
      </c>
      <c r="H23" s="6">
        <v>56</v>
      </c>
      <c r="I23" s="49" t="s">
        <v>96</v>
      </c>
      <c r="J23" s="11">
        <v>50</v>
      </c>
      <c r="K23" s="6" t="s">
        <v>107</v>
      </c>
      <c r="L23" s="6">
        <f>50*4000</f>
        <v>200000</v>
      </c>
      <c r="M23" s="12">
        <v>0.99</v>
      </c>
      <c r="N23" s="12">
        <f t="shared" si="7"/>
        <v>198000</v>
      </c>
      <c r="O23" s="12">
        <f t="shared" si="8"/>
        <v>35640</v>
      </c>
      <c r="P23" s="8">
        <f t="shared" ref="P23:P24" si="14">SUM(N23:O23)</f>
        <v>233640</v>
      </c>
      <c r="Q23" s="14"/>
    </row>
    <row r="24" spans="1:17" s="4" customFormat="1" ht="21" customHeight="1">
      <c r="A24" s="16"/>
      <c r="B24" s="6">
        <v>2036</v>
      </c>
      <c r="C24" s="28">
        <v>46261</v>
      </c>
      <c r="D24" s="28">
        <v>46266</v>
      </c>
      <c r="E24" s="6">
        <v>64637</v>
      </c>
      <c r="F24" s="28">
        <v>46261</v>
      </c>
      <c r="G24" s="6" t="s">
        <v>71</v>
      </c>
      <c r="H24" s="6">
        <v>56</v>
      </c>
      <c r="I24" s="49" t="s">
        <v>98</v>
      </c>
      <c r="J24" s="11">
        <v>29</v>
      </c>
      <c r="K24" s="6" t="s">
        <v>108</v>
      </c>
      <c r="L24" s="6">
        <f>29*3500</f>
        <v>101500</v>
      </c>
      <c r="M24" s="12">
        <v>1.36</v>
      </c>
      <c r="N24" s="12">
        <f t="shared" si="7"/>
        <v>138040</v>
      </c>
      <c r="O24" s="12">
        <f t="shared" si="8"/>
        <v>24847.200000000001</v>
      </c>
      <c r="P24" s="8">
        <f t="shared" si="14"/>
        <v>162887.20000000001</v>
      </c>
      <c r="Q24" s="14"/>
    </row>
    <row r="25" spans="1:17" s="4" customFormat="1" ht="21" customHeight="1">
      <c r="A25" s="16"/>
      <c r="B25" s="6">
        <v>2036</v>
      </c>
      <c r="C25" s="28">
        <v>46261</v>
      </c>
      <c r="D25" s="28">
        <v>46266</v>
      </c>
      <c r="E25" s="6">
        <v>64637</v>
      </c>
      <c r="F25" s="28">
        <v>46261</v>
      </c>
      <c r="G25" s="6" t="s">
        <v>71</v>
      </c>
      <c r="H25" s="6">
        <v>56</v>
      </c>
      <c r="I25" s="49" t="s">
        <v>99</v>
      </c>
      <c r="J25" s="11">
        <v>67</v>
      </c>
      <c r="K25" s="6" t="s">
        <v>109</v>
      </c>
      <c r="L25" s="6">
        <f>67*10500</f>
        <v>703500</v>
      </c>
      <c r="M25" s="12">
        <v>0.56999999999999995</v>
      </c>
      <c r="N25" s="12">
        <f t="shared" si="7"/>
        <v>400994.99999999994</v>
      </c>
      <c r="O25" s="12">
        <f t="shared" si="8"/>
        <v>72179.099999999991</v>
      </c>
      <c r="P25" s="8">
        <f t="shared" ref="P25" si="15">SUM(N25:O25)</f>
        <v>473174.09999999992</v>
      </c>
      <c r="Q25" s="14"/>
    </row>
    <row r="26" spans="1:17" s="4" customFormat="1" ht="21" customHeight="1">
      <c r="A26" s="16"/>
      <c r="B26" s="6"/>
      <c r="C26" s="28"/>
      <c r="D26" s="28"/>
      <c r="E26" s="6"/>
      <c r="F26" s="28"/>
      <c r="G26" s="6"/>
      <c r="H26" s="6"/>
      <c r="I26" s="49"/>
      <c r="J26" s="11"/>
      <c r="K26" s="6"/>
      <c r="L26" s="6"/>
      <c r="M26" s="12"/>
      <c r="N26" s="12"/>
      <c r="O26" s="12"/>
      <c r="P26" s="8"/>
      <c r="Q26" s="14"/>
    </row>
    <row r="27" spans="1:17" ht="21" customHeight="1">
      <c r="B27" s="244" t="s">
        <v>11</v>
      </c>
      <c r="C27" s="245"/>
      <c r="D27" s="245"/>
      <c r="E27" s="245"/>
      <c r="F27" s="245"/>
      <c r="G27" s="245"/>
      <c r="H27" s="245"/>
      <c r="I27" s="246"/>
      <c r="J27" s="30">
        <f>SUM(J9:J26)</f>
        <v>896</v>
      </c>
      <c r="K27" s="30"/>
      <c r="L27" s="20">
        <f>SUM(L9:L26)</f>
        <v>4020186</v>
      </c>
      <c r="M27" s="20"/>
      <c r="N27" s="21">
        <f>ROUND(SUM(N9:N26),0)</f>
        <v>4410442</v>
      </c>
      <c r="O27" s="21">
        <f>ROUND(SUM(O9:O26),0)</f>
        <v>793879</v>
      </c>
      <c r="P27" s="21">
        <f>ROUND(SUM(P9:P26),0)</f>
        <v>5204321</v>
      </c>
      <c r="Q27" s="21"/>
    </row>
    <row r="28" spans="1:17" ht="21" customHeight="1">
      <c r="L28" s="17"/>
      <c r="M28" s="17"/>
      <c r="N28" s="17"/>
      <c r="O28" s="17"/>
    </row>
  </sheetData>
  <autoFilter ref="B8:Q8"/>
  <mergeCells count="2">
    <mergeCell ref="B27:I27"/>
    <mergeCell ref="B1:Q1"/>
  </mergeCells>
  <phoneticPr fontId="2" type="noConversion"/>
  <pageMargins left="0.15748031496062992" right="0.15748031496062992" top="0.23622047244094491" bottom="0.23622047244094491" header="0.19685039370078741" footer="0.19685039370078741"/>
  <pageSetup scale="8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2:AK45"/>
  <sheetViews>
    <sheetView tabSelected="1" topLeftCell="A25" zoomScaleNormal="100" workbookViewId="0">
      <selection activeCell="K51" sqref="K51"/>
    </sheetView>
  </sheetViews>
  <sheetFormatPr defaultColWidth="5.42578125" defaultRowHeight="18" customHeight="1"/>
  <cols>
    <col min="1" max="1" width="5.42578125" style="5"/>
    <col min="2" max="2" width="16.7109375" style="5" customWidth="1"/>
    <col min="3" max="3" width="12.5703125" style="25" bestFit="1" customWidth="1"/>
    <col min="4" max="4" width="18.42578125" style="5" bestFit="1" customWidth="1"/>
    <col min="5" max="5" width="11.85546875" style="25" bestFit="1" customWidth="1"/>
    <col min="6" max="6" width="15.140625" style="25" customWidth="1"/>
    <col min="7" max="7" width="19.140625" style="5" bestFit="1" customWidth="1"/>
    <col min="8" max="8" width="16.28515625" style="5" bestFit="1" customWidth="1"/>
    <col min="9" max="9" width="25.85546875" style="10" customWidth="1"/>
    <col min="10" max="10" width="11.140625" style="5" bestFit="1" customWidth="1"/>
    <col min="11" max="11" width="12.85546875" style="5" bestFit="1" customWidth="1"/>
    <col min="12" max="12" width="11.140625" style="29" bestFit="1" customWidth="1"/>
    <col min="13" max="13" width="19" style="5" bestFit="1" customWidth="1"/>
    <col min="14" max="15" width="15.140625" style="5" bestFit="1" customWidth="1"/>
    <col min="16" max="16" width="21" style="5" bestFit="1" customWidth="1"/>
    <col min="17" max="17" width="53.7109375" style="5" bestFit="1" customWidth="1"/>
    <col min="18" max="36" width="5.42578125" style="5"/>
    <col min="37" max="37" width="5.42578125" style="32"/>
    <col min="38" max="16384" width="5.42578125" style="5"/>
  </cols>
  <sheetData>
    <row r="2" spans="2:37" ht="18" customHeight="1">
      <c r="B2" s="251" t="s">
        <v>72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3"/>
    </row>
    <row r="3" spans="2:37" ht="18" customHeight="1">
      <c r="B3" s="46"/>
      <c r="C3" s="31"/>
      <c r="D3" s="47"/>
      <c r="E3" s="27"/>
      <c r="F3" s="27"/>
      <c r="G3" s="1"/>
      <c r="J3" s="22"/>
      <c r="K3" s="22"/>
      <c r="L3" s="41"/>
      <c r="M3" s="22"/>
      <c r="P3" s="13"/>
    </row>
    <row r="4" spans="2:37" ht="18" customHeight="1">
      <c r="B4" s="137" t="s">
        <v>67</v>
      </c>
      <c r="C4" s="137"/>
      <c r="D4" s="39"/>
      <c r="E4" s="27"/>
      <c r="F4" s="27"/>
      <c r="G4" s="1"/>
      <c r="H4" s="1"/>
      <c r="P4" s="13"/>
    </row>
    <row r="5" spans="2:37" ht="18" customHeight="1">
      <c r="B5" s="138" t="s">
        <v>64</v>
      </c>
      <c r="C5" s="139"/>
      <c r="D5" s="1"/>
      <c r="E5" s="27"/>
      <c r="F5" s="27"/>
      <c r="G5" s="6" t="s">
        <v>68</v>
      </c>
      <c r="H5" s="1"/>
      <c r="P5" s="13"/>
    </row>
    <row r="6" spans="2:37" ht="18" customHeight="1">
      <c r="B6" s="138" t="s">
        <v>65</v>
      </c>
      <c r="C6" s="139"/>
      <c r="D6" s="1"/>
      <c r="E6" s="27"/>
      <c r="F6" s="27"/>
      <c r="G6" s="6" t="s">
        <v>69</v>
      </c>
      <c r="H6" s="19"/>
      <c r="I6" s="19"/>
      <c r="J6" s="19"/>
      <c r="K6" s="19"/>
      <c r="L6" s="42"/>
      <c r="M6" s="19"/>
      <c r="N6" s="19"/>
      <c r="O6" s="39"/>
      <c r="P6" s="39"/>
    </row>
    <row r="7" spans="2:37" ht="18" customHeight="1">
      <c r="B7" s="138" t="s">
        <v>66</v>
      </c>
      <c r="C7" s="139"/>
      <c r="D7" s="1"/>
      <c r="E7" s="27"/>
      <c r="F7" s="27"/>
      <c r="G7" s="1"/>
      <c r="H7" s="19"/>
      <c r="I7" s="19"/>
      <c r="J7" s="19"/>
      <c r="K7" s="19"/>
      <c r="L7" s="42"/>
      <c r="M7" s="19"/>
      <c r="N7" s="19"/>
      <c r="O7" s="39"/>
      <c r="P7" s="39"/>
    </row>
    <row r="8" spans="2:37" ht="18" customHeight="1">
      <c r="B8" s="138" t="s">
        <v>25</v>
      </c>
      <c r="C8" s="139"/>
      <c r="D8" s="1"/>
      <c r="E8" s="27"/>
      <c r="F8" s="27"/>
      <c r="G8" s="1"/>
      <c r="H8" s="1"/>
    </row>
    <row r="9" spans="2:37" s="55" customFormat="1" ht="32.25" customHeight="1">
      <c r="B9" s="51" t="s">
        <v>12</v>
      </c>
      <c r="C9" s="52" t="s">
        <v>19</v>
      </c>
      <c r="D9" s="51" t="s">
        <v>20</v>
      </c>
      <c r="E9" s="52" t="s">
        <v>31</v>
      </c>
      <c r="F9" s="52" t="s">
        <v>30</v>
      </c>
      <c r="G9" s="51" t="s">
        <v>21</v>
      </c>
      <c r="H9" s="51" t="s">
        <v>13</v>
      </c>
      <c r="I9" s="51" t="s">
        <v>7</v>
      </c>
      <c r="J9" s="51" t="s">
        <v>70</v>
      </c>
      <c r="K9" s="51" t="s">
        <v>14</v>
      </c>
      <c r="L9" s="53" t="s">
        <v>15</v>
      </c>
      <c r="M9" s="51" t="s">
        <v>17</v>
      </c>
      <c r="N9" s="54" t="s">
        <v>27</v>
      </c>
      <c r="O9" s="54" t="s">
        <v>28</v>
      </c>
      <c r="P9" s="51" t="s">
        <v>16</v>
      </c>
      <c r="Q9" s="51" t="s">
        <v>29</v>
      </c>
      <c r="AK9" s="56"/>
    </row>
    <row r="10" spans="2:37" s="4" customFormat="1" ht="18" customHeight="1">
      <c r="B10" s="136" t="s">
        <v>113</v>
      </c>
      <c r="C10" s="28">
        <v>46266</v>
      </c>
      <c r="D10" s="48" t="s">
        <v>110</v>
      </c>
      <c r="E10" s="28">
        <v>46266</v>
      </c>
      <c r="F10" s="28">
        <v>46266</v>
      </c>
      <c r="G10" s="6" t="s">
        <v>69</v>
      </c>
      <c r="H10" s="48">
        <v>2035</v>
      </c>
      <c r="I10" s="7" t="s">
        <v>80</v>
      </c>
      <c r="J10" s="34">
        <v>30</v>
      </c>
      <c r="K10" s="6">
        <v>91000</v>
      </c>
      <c r="L10" s="9">
        <v>1.34</v>
      </c>
      <c r="M10" s="38">
        <f t="shared" ref="M10:M14" si="0">+K10*L10</f>
        <v>121940</v>
      </c>
      <c r="N10" s="38">
        <f t="shared" ref="N10:N14" si="1">+M10*9%</f>
        <v>10974.6</v>
      </c>
      <c r="O10" s="38">
        <f t="shared" ref="O10:O14" si="2">+M10*9%</f>
        <v>10974.6</v>
      </c>
      <c r="P10" s="38">
        <f t="shared" ref="P10:P14" si="3">ROUND(SUM(M10+N10+O10),0)</f>
        <v>143889</v>
      </c>
      <c r="Q10" s="38"/>
      <c r="R10" s="50"/>
      <c r="AK10" s="33"/>
    </row>
    <row r="11" spans="2:37" s="4" customFormat="1" ht="18" customHeight="1">
      <c r="B11" s="136" t="s">
        <v>114</v>
      </c>
      <c r="C11" s="28">
        <v>46266</v>
      </c>
      <c r="D11" s="48" t="s">
        <v>111</v>
      </c>
      <c r="E11" s="28">
        <v>46266</v>
      </c>
      <c r="F11" s="28">
        <v>46266</v>
      </c>
      <c r="G11" s="6" t="s">
        <v>68</v>
      </c>
      <c r="H11" s="48">
        <v>2035</v>
      </c>
      <c r="I11" s="7" t="s">
        <v>80</v>
      </c>
      <c r="J11" s="34">
        <v>30</v>
      </c>
      <c r="K11" s="6">
        <v>91000</v>
      </c>
      <c r="L11" s="9">
        <v>1.34</v>
      </c>
      <c r="M11" s="38">
        <f t="shared" si="0"/>
        <v>121940</v>
      </c>
      <c r="N11" s="38">
        <f t="shared" si="1"/>
        <v>10974.6</v>
      </c>
      <c r="O11" s="38">
        <f t="shared" si="2"/>
        <v>10974.6</v>
      </c>
      <c r="P11" s="38">
        <f t="shared" si="3"/>
        <v>143889</v>
      </c>
      <c r="Q11" s="38"/>
      <c r="R11" s="50"/>
      <c r="AK11" s="33"/>
    </row>
    <row r="12" spans="2:37" s="4" customFormat="1" ht="18" customHeight="1">
      <c r="B12" s="136" t="s">
        <v>212</v>
      </c>
      <c r="C12" s="28">
        <v>46266</v>
      </c>
      <c r="D12" s="48" t="s">
        <v>112</v>
      </c>
      <c r="E12" s="28">
        <v>46266</v>
      </c>
      <c r="F12" s="28">
        <v>46266</v>
      </c>
      <c r="G12" s="6" t="s">
        <v>68</v>
      </c>
      <c r="H12" s="48">
        <v>2036</v>
      </c>
      <c r="I12" s="7" t="s">
        <v>87</v>
      </c>
      <c r="J12" s="34">
        <v>18</v>
      </c>
      <c r="K12" s="6">
        <v>151200</v>
      </c>
      <c r="L12" s="9">
        <v>0.68</v>
      </c>
      <c r="M12" s="38">
        <f t="shared" si="0"/>
        <v>102816.00000000001</v>
      </c>
      <c r="N12" s="38">
        <f t="shared" si="1"/>
        <v>9253.44</v>
      </c>
      <c r="O12" s="38">
        <f t="shared" si="2"/>
        <v>9253.44</v>
      </c>
      <c r="P12" s="38">
        <f t="shared" si="3"/>
        <v>121323</v>
      </c>
      <c r="Q12" s="38"/>
      <c r="R12" s="50"/>
      <c r="AK12" s="33"/>
    </row>
    <row r="13" spans="2:37" s="4" customFormat="1" ht="18" customHeight="1">
      <c r="B13" s="136" t="s">
        <v>213</v>
      </c>
      <c r="C13" s="28">
        <v>46266</v>
      </c>
      <c r="D13" s="48" t="s">
        <v>119</v>
      </c>
      <c r="E13" s="28">
        <v>46266</v>
      </c>
      <c r="F13" s="28">
        <v>46267</v>
      </c>
      <c r="G13" s="6" t="s">
        <v>69</v>
      </c>
      <c r="H13" s="48">
        <v>1622</v>
      </c>
      <c r="I13" s="7" t="s">
        <v>115</v>
      </c>
      <c r="J13" s="34">
        <v>6</v>
      </c>
      <c r="K13" s="6">
        <v>33280</v>
      </c>
      <c r="L13" s="9">
        <v>1.24</v>
      </c>
      <c r="M13" s="38">
        <f t="shared" si="0"/>
        <v>41267.199999999997</v>
      </c>
      <c r="N13" s="38">
        <f t="shared" si="1"/>
        <v>3714.0479999999998</v>
      </c>
      <c r="O13" s="38">
        <f t="shared" si="2"/>
        <v>3714.0479999999998</v>
      </c>
      <c r="P13" s="38">
        <f t="shared" si="3"/>
        <v>48695</v>
      </c>
      <c r="Q13" s="38"/>
      <c r="R13" s="50"/>
      <c r="AK13" s="33"/>
    </row>
    <row r="14" spans="2:37" s="4" customFormat="1" ht="18" customHeight="1">
      <c r="B14" s="136" t="s">
        <v>214</v>
      </c>
      <c r="C14" s="28">
        <v>46266</v>
      </c>
      <c r="D14" s="48" t="s">
        <v>120</v>
      </c>
      <c r="E14" s="28">
        <v>46266</v>
      </c>
      <c r="F14" s="28">
        <v>46267</v>
      </c>
      <c r="G14" s="6" t="s">
        <v>69</v>
      </c>
      <c r="H14" s="48">
        <v>1207</v>
      </c>
      <c r="I14" s="7" t="s">
        <v>116</v>
      </c>
      <c r="J14" s="34">
        <v>18</v>
      </c>
      <c r="K14" s="6">
        <v>38880</v>
      </c>
      <c r="L14" s="9">
        <v>1.83</v>
      </c>
      <c r="M14" s="38">
        <f t="shared" si="0"/>
        <v>71150.400000000009</v>
      </c>
      <c r="N14" s="38">
        <f t="shared" si="1"/>
        <v>6403.536000000001</v>
      </c>
      <c r="O14" s="38">
        <f t="shared" si="2"/>
        <v>6403.536000000001</v>
      </c>
      <c r="P14" s="38">
        <f t="shared" si="3"/>
        <v>83957</v>
      </c>
      <c r="Q14" s="38"/>
      <c r="R14" s="50"/>
      <c r="AK14" s="33"/>
    </row>
    <row r="15" spans="2:37" s="4" customFormat="1" ht="18" customHeight="1">
      <c r="B15" s="136" t="s">
        <v>215</v>
      </c>
      <c r="C15" s="28">
        <v>46266</v>
      </c>
      <c r="D15" s="48" t="s">
        <v>121</v>
      </c>
      <c r="E15" s="28">
        <v>46266</v>
      </c>
      <c r="F15" s="28">
        <v>46267</v>
      </c>
      <c r="G15" s="6" t="s">
        <v>69</v>
      </c>
      <c r="H15" s="48">
        <v>1842</v>
      </c>
      <c r="I15" s="7" t="s">
        <v>117</v>
      </c>
      <c r="J15" s="34">
        <v>10</v>
      </c>
      <c r="K15" s="6">
        <v>50000</v>
      </c>
      <c r="L15" s="9">
        <v>0.76</v>
      </c>
      <c r="M15" s="38">
        <f t="shared" ref="M15" si="4">+K15*L15</f>
        <v>38000</v>
      </c>
      <c r="N15" s="38">
        <f t="shared" ref="N15" si="5">+M15*9%</f>
        <v>3420</v>
      </c>
      <c r="O15" s="38">
        <f t="shared" ref="O15" si="6">+M15*9%</f>
        <v>3420</v>
      </c>
      <c r="P15" s="38">
        <f t="shared" ref="P15" si="7">ROUND(SUM(M15+N15+O15),0)</f>
        <v>44840</v>
      </c>
      <c r="Q15" s="38"/>
      <c r="R15" s="50"/>
      <c r="AK15" s="33"/>
    </row>
    <row r="16" spans="2:37" s="4" customFormat="1" ht="18" customHeight="1">
      <c r="B16" s="136" t="s">
        <v>216</v>
      </c>
      <c r="C16" s="28">
        <v>46266</v>
      </c>
      <c r="D16" s="48" t="s">
        <v>122</v>
      </c>
      <c r="E16" s="28">
        <v>46266</v>
      </c>
      <c r="F16" s="28">
        <v>46267</v>
      </c>
      <c r="G16" s="6" t="s">
        <v>68</v>
      </c>
      <c r="H16" s="48">
        <v>1842</v>
      </c>
      <c r="I16" s="7" t="s">
        <v>118</v>
      </c>
      <c r="J16" s="34">
        <v>13</v>
      </c>
      <c r="K16" s="6">
        <v>97500</v>
      </c>
      <c r="L16" s="9">
        <v>0.64</v>
      </c>
      <c r="M16" s="38">
        <f t="shared" ref="M16" si="8">+K16*L16</f>
        <v>62400</v>
      </c>
      <c r="N16" s="38">
        <f t="shared" ref="N16" si="9">+M16*9%</f>
        <v>5616</v>
      </c>
      <c r="O16" s="38">
        <f t="shared" ref="O16" si="10">+M16*9%</f>
        <v>5616</v>
      </c>
      <c r="P16" s="38">
        <f t="shared" ref="P16" si="11">ROUND(SUM(M16+N16+O16),0)</f>
        <v>73632</v>
      </c>
      <c r="Q16" s="38"/>
      <c r="R16" s="50"/>
      <c r="AK16" s="33"/>
    </row>
    <row r="17" spans="2:37" s="4" customFormat="1" ht="18" customHeight="1">
      <c r="B17" s="136" t="s">
        <v>222</v>
      </c>
      <c r="C17" s="28">
        <v>46267</v>
      </c>
      <c r="D17" s="48" t="s">
        <v>217</v>
      </c>
      <c r="E17" s="28">
        <v>46267</v>
      </c>
      <c r="F17" s="28">
        <v>46268</v>
      </c>
      <c r="G17" s="6" t="s">
        <v>69</v>
      </c>
      <c r="H17" s="48">
        <v>1622</v>
      </c>
      <c r="I17" s="7" t="s">
        <v>115</v>
      </c>
      <c r="J17" s="34">
        <v>6</v>
      </c>
      <c r="K17" s="6">
        <v>33280</v>
      </c>
      <c r="L17" s="9">
        <v>1.24</v>
      </c>
      <c r="M17" s="38">
        <f t="shared" ref="M17:M21" si="12">+K17*L17</f>
        <v>41267.199999999997</v>
      </c>
      <c r="N17" s="38">
        <f t="shared" ref="N17:N21" si="13">+M17*9%</f>
        <v>3714.0479999999998</v>
      </c>
      <c r="O17" s="38">
        <f t="shared" ref="O17:O21" si="14">+M17*9%</f>
        <v>3714.0479999999998</v>
      </c>
      <c r="P17" s="38">
        <f t="shared" ref="P17:P21" si="15">ROUND(SUM(M17+N17+O17),0)</f>
        <v>48695</v>
      </c>
      <c r="Q17" s="38"/>
      <c r="R17" s="50"/>
      <c r="AK17" s="33"/>
    </row>
    <row r="18" spans="2:37" s="4" customFormat="1" ht="18" customHeight="1">
      <c r="B18" s="136" t="s">
        <v>223</v>
      </c>
      <c r="C18" s="28">
        <v>46267</v>
      </c>
      <c r="D18" s="48" t="s">
        <v>218</v>
      </c>
      <c r="E18" s="28">
        <v>46267</v>
      </c>
      <c r="F18" s="28">
        <v>46268</v>
      </c>
      <c r="G18" s="6" t="s">
        <v>69</v>
      </c>
      <c r="H18" s="48">
        <v>2035</v>
      </c>
      <c r="I18" s="7" t="s">
        <v>80</v>
      </c>
      <c r="J18" s="34">
        <v>12</v>
      </c>
      <c r="K18" s="6">
        <v>36400</v>
      </c>
      <c r="L18" s="9">
        <v>1.34</v>
      </c>
      <c r="M18" s="38">
        <f t="shared" si="12"/>
        <v>48776</v>
      </c>
      <c r="N18" s="38">
        <f t="shared" si="13"/>
        <v>4389.84</v>
      </c>
      <c r="O18" s="38">
        <f t="shared" si="14"/>
        <v>4389.84</v>
      </c>
      <c r="P18" s="38">
        <f t="shared" si="15"/>
        <v>57556</v>
      </c>
      <c r="Q18" s="38"/>
      <c r="R18" s="50"/>
      <c r="AK18" s="33"/>
    </row>
    <row r="19" spans="2:37" s="4" customFormat="1" ht="18" customHeight="1">
      <c r="B19" s="136" t="s">
        <v>224</v>
      </c>
      <c r="C19" s="28">
        <v>46267</v>
      </c>
      <c r="D19" s="48" t="s">
        <v>219</v>
      </c>
      <c r="E19" s="28">
        <v>46267</v>
      </c>
      <c r="F19" s="28">
        <v>46268</v>
      </c>
      <c r="G19" s="6" t="s">
        <v>69</v>
      </c>
      <c r="H19" s="48">
        <v>1207</v>
      </c>
      <c r="I19" s="7" t="s">
        <v>116</v>
      </c>
      <c r="J19" s="34">
        <v>21</v>
      </c>
      <c r="K19" s="6">
        <v>45360</v>
      </c>
      <c r="L19" s="9">
        <v>1.83</v>
      </c>
      <c r="M19" s="38">
        <f t="shared" si="12"/>
        <v>83008.800000000003</v>
      </c>
      <c r="N19" s="38">
        <f t="shared" si="13"/>
        <v>7470.7920000000004</v>
      </c>
      <c r="O19" s="38">
        <f t="shared" si="14"/>
        <v>7470.7920000000004</v>
      </c>
      <c r="P19" s="38">
        <f t="shared" si="15"/>
        <v>97950</v>
      </c>
      <c r="Q19" s="38"/>
      <c r="R19" s="50"/>
      <c r="AK19" s="33"/>
    </row>
    <row r="20" spans="2:37" s="4" customFormat="1" ht="18" customHeight="1">
      <c r="B20" s="136" t="s">
        <v>225</v>
      </c>
      <c r="C20" s="28">
        <v>46267</v>
      </c>
      <c r="D20" s="48" t="s">
        <v>220</v>
      </c>
      <c r="E20" s="28">
        <v>46267</v>
      </c>
      <c r="F20" s="28">
        <v>46268</v>
      </c>
      <c r="G20" s="6" t="s">
        <v>69</v>
      </c>
      <c r="H20" s="48">
        <v>1842</v>
      </c>
      <c r="I20" s="7" t="s">
        <v>117</v>
      </c>
      <c r="J20" s="34">
        <v>10</v>
      </c>
      <c r="K20" s="6">
        <v>50000</v>
      </c>
      <c r="L20" s="9">
        <v>0.76</v>
      </c>
      <c r="M20" s="38">
        <f t="shared" si="12"/>
        <v>38000</v>
      </c>
      <c r="N20" s="38">
        <f t="shared" si="13"/>
        <v>3420</v>
      </c>
      <c r="O20" s="38">
        <f t="shared" si="14"/>
        <v>3420</v>
      </c>
      <c r="P20" s="38">
        <f t="shared" si="15"/>
        <v>44840</v>
      </c>
      <c r="Q20" s="38"/>
      <c r="R20" s="50"/>
      <c r="AK20" s="33"/>
    </row>
    <row r="21" spans="2:37" s="4" customFormat="1" ht="18" customHeight="1">
      <c r="B21" s="136" t="s">
        <v>226</v>
      </c>
      <c r="C21" s="28">
        <v>46267</v>
      </c>
      <c r="D21" s="48" t="s">
        <v>221</v>
      </c>
      <c r="E21" s="28">
        <v>46267</v>
      </c>
      <c r="F21" s="28">
        <v>46268</v>
      </c>
      <c r="G21" s="6" t="s">
        <v>68</v>
      </c>
      <c r="H21" s="48">
        <v>1842</v>
      </c>
      <c r="I21" s="7" t="s">
        <v>118</v>
      </c>
      <c r="J21" s="34">
        <v>5</v>
      </c>
      <c r="K21" s="6">
        <v>37500</v>
      </c>
      <c r="L21" s="9">
        <v>0.64</v>
      </c>
      <c r="M21" s="38">
        <f t="shared" si="12"/>
        <v>24000</v>
      </c>
      <c r="N21" s="38">
        <f t="shared" si="13"/>
        <v>2160</v>
      </c>
      <c r="O21" s="38">
        <f t="shared" si="14"/>
        <v>2160</v>
      </c>
      <c r="P21" s="38">
        <f t="shared" si="15"/>
        <v>28320</v>
      </c>
      <c r="Q21" s="38"/>
      <c r="R21" s="50"/>
      <c r="AK21" s="33"/>
    </row>
    <row r="22" spans="2:37" s="4" customFormat="1" ht="18" customHeight="1">
      <c r="B22" s="136" t="s">
        <v>232</v>
      </c>
      <c r="C22" s="28">
        <v>46268</v>
      </c>
      <c r="D22" s="48" t="s">
        <v>227</v>
      </c>
      <c r="E22" s="28">
        <v>46268</v>
      </c>
      <c r="F22" s="28">
        <v>46269</v>
      </c>
      <c r="G22" s="6" t="s">
        <v>69</v>
      </c>
      <c r="H22" s="48">
        <v>1622</v>
      </c>
      <c r="I22" s="7" t="s">
        <v>115</v>
      </c>
      <c r="J22" s="34">
        <v>3</v>
      </c>
      <c r="K22" s="6">
        <v>16640</v>
      </c>
      <c r="L22" s="9">
        <v>1.24</v>
      </c>
      <c r="M22" s="38">
        <f t="shared" ref="M22:M26" si="16">+K22*L22</f>
        <v>20633.599999999999</v>
      </c>
      <c r="N22" s="38">
        <f t="shared" ref="N22:N26" si="17">+M22*9%</f>
        <v>1857.0239999999999</v>
      </c>
      <c r="O22" s="38">
        <f t="shared" ref="O22:O26" si="18">+M22*9%</f>
        <v>1857.0239999999999</v>
      </c>
      <c r="P22" s="38">
        <f t="shared" ref="P22:P26" si="19">ROUND(SUM(M22+N22+O22),0)</f>
        <v>24348</v>
      </c>
      <c r="Q22" s="38"/>
      <c r="R22" s="50"/>
      <c r="AK22" s="33"/>
    </row>
    <row r="23" spans="2:37" s="4" customFormat="1" ht="18" customHeight="1">
      <c r="B23" s="136" t="s">
        <v>233</v>
      </c>
      <c r="C23" s="28">
        <v>46268</v>
      </c>
      <c r="D23" s="48" t="s">
        <v>228</v>
      </c>
      <c r="E23" s="28">
        <v>46268</v>
      </c>
      <c r="F23" s="28">
        <v>46269</v>
      </c>
      <c r="G23" s="6" t="s">
        <v>69</v>
      </c>
      <c r="H23" s="48">
        <v>1207</v>
      </c>
      <c r="I23" s="7" t="s">
        <v>116</v>
      </c>
      <c r="J23" s="34">
        <v>21</v>
      </c>
      <c r="K23" s="6">
        <v>45360</v>
      </c>
      <c r="L23" s="9">
        <v>1.83</v>
      </c>
      <c r="M23" s="38">
        <f t="shared" si="16"/>
        <v>83008.800000000003</v>
      </c>
      <c r="N23" s="38">
        <f t="shared" si="17"/>
        <v>7470.7920000000004</v>
      </c>
      <c r="O23" s="38">
        <f t="shared" si="18"/>
        <v>7470.7920000000004</v>
      </c>
      <c r="P23" s="38">
        <f t="shared" si="19"/>
        <v>97950</v>
      </c>
      <c r="Q23" s="38"/>
      <c r="R23" s="50"/>
      <c r="AK23" s="33"/>
    </row>
    <row r="24" spans="2:37" s="4" customFormat="1" ht="18" customHeight="1">
      <c r="B24" s="136" t="s">
        <v>234</v>
      </c>
      <c r="C24" s="28">
        <v>46268</v>
      </c>
      <c r="D24" s="48" t="s">
        <v>229</v>
      </c>
      <c r="E24" s="28">
        <v>46268</v>
      </c>
      <c r="F24" s="28">
        <v>46269</v>
      </c>
      <c r="G24" s="6" t="s">
        <v>69</v>
      </c>
      <c r="H24" s="48">
        <v>1841</v>
      </c>
      <c r="I24" s="7" t="s">
        <v>158</v>
      </c>
      <c r="J24" s="34">
        <v>9</v>
      </c>
      <c r="K24" s="6">
        <v>35280</v>
      </c>
      <c r="L24" s="9">
        <v>3.25</v>
      </c>
      <c r="M24" s="38">
        <f t="shared" si="16"/>
        <v>114660</v>
      </c>
      <c r="N24" s="38">
        <f t="shared" si="17"/>
        <v>10319.4</v>
      </c>
      <c r="O24" s="38">
        <f t="shared" si="18"/>
        <v>10319.4</v>
      </c>
      <c r="P24" s="38">
        <f t="shared" si="19"/>
        <v>135299</v>
      </c>
      <c r="Q24" s="38"/>
      <c r="R24" s="50"/>
      <c r="AK24" s="33"/>
    </row>
    <row r="25" spans="2:37" s="4" customFormat="1" ht="18" customHeight="1">
      <c r="B25" s="136" t="s">
        <v>235</v>
      </c>
      <c r="C25" s="28">
        <v>46268</v>
      </c>
      <c r="D25" s="48" t="s">
        <v>230</v>
      </c>
      <c r="E25" s="28">
        <v>46268</v>
      </c>
      <c r="F25" s="28">
        <v>46269</v>
      </c>
      <c r="G25" s="6" t="s">
        <v>68</v>
      </c>
      <c r="H25" s="48">
        <v>2035</v>
      </c>
      <c r="I25" s="7" t="s">
        <v>80</v>
      </c>
      <c r="J25" s="34">
        <v>9</v>
      </c>
      <c r="K25" s="6">
        <v>27300</v>
      </c>
      <c r="L25" s="9">
        <v>1.34</v>
      </c>
      <c r="M25" s="38">
        <f t="shared" si="16"/>
        <v>36582</v>
      </c>
      <c r="N25" s="38">
        <f t="shared" si="17"/>
        <v>3292.3799999999997</v>
      </c>
      <c r="O25" s="38">
        <f t="shared" si="18"/>
        <v>3292.3799999999997</v>
      </c>
      <c r="P25" s="38">
        <f t="shared" si="19"/>
        <v>43167</v>
      </c>
      <c r="Q25" s="38"/>
      <c r="R25" s="50"/>
      <c r="AK25" s="33"/>
    </row>
    <row r="26" spans="2:37" s="4" customFormat="1" ht="18" customHeight="1">
      <c r="B26" s="136" t="s">
        <v>236</v>
      </c>
      <c r="C26" s="28">
        <v>46268</v>
      </c>
      <c r="D26" s="48" t="s">
        <v>231</v>
      </c>
      <c r="E26" s="28">
        <v>46268</v>
      </c>
      <c r="F26" s="28">
        <v>46269</v>
      </c>
      <c r="G26" s="6" t="s">
        <v>68</v>
      </c>
      <c r="H26" s="48">
        <v>1842</v>
      </c>
      <c r="I26" s="7" t="s">
        <v>117</v>
      </c>
      <c r="J26" s="34">
        <v>10</v>
      </c>
      <c r="K26" s="6">
        <v>50000</v>
      </c>
      <c r="L26" s="9">
        <v>0.76</v>
      </c>
      <c r="M26" s="38">
        <f t="shared" si="16"/>
        <v>38000</v>
      </c>
      <c r="N26" s="38">
        <f t="shared" si="17"/>
        <v>3420</v>
      </c>
      <c r="O26" s="38">
        <f t="shared" si="18"/>
        <v>3420</v>
      </c>
      <c r="P26" s="38">
        <f t="shared" si="19"/>
        <v>44840</v>
      </c>
      <c r="Q26" s="38"/>
      <c r="R26" s="50"/>
      <c r="AK26" s="33"/>
    </row>
    <row r="27" spans="2:37" s="4" customFormat="1" ht="18" customHeight="1">
      <c r="B27" s="136" t="s">
        <v>247</v>
      </c>
      <c r="C27" s="28">
        <v>46269</v>
      </c>
      <c r="D27" s="48" t="s">
        <v>237</v>
      </c>
      <c r="E27" s="28">
        <v>46269</v>
      </c>
      <c r="F27" s="28">
        <v>46269</v>
      </c>
      <c r="G27" s="6" t="s">
        <v>69</v>
      </c>
      <c r="H27" s="48">
        <v>365</v>
      </c>
      <c r="I27" s="7" t="s">
        <v>165</v>
      </c>
      <c r="J27" s="34">
        <v>8</v>
      </c>
      <c r="K27" s="6">
        <v>100800</v>
      </c>
      <c r="L27" s="9">
        <v>0.49</v>
      </c>
      <c r="M27" s="38">
        <f t="shared" ref="M27:M36" si="20">+K27*L27</f>
        <v>49392</v>
      </c>
      <c r="N27" s="38">
        <f t="shared" ref="N27:N36" si="21">+M27*9%</f>
        <v>4445.28</v>
      </c>
      <c r="O27" s="38">
        <f t="shared" ref="O27:O36" si="22">+M27*9%</f>
        <v>4445.28</v>
      </c>
      <c r="P27" s="38">
        <f t="shared" ref="P27:P36" si="23">ROUND(SUM(M27+N27+O27),0)</f>
        <v>58283</v>
      </c>
      <c r="Q27" s="38"/>
      <c r="R27" s="50"/>
      <c r="AK27" s="33"/>
    </row>
    <row r="28" spans="2:37" s="4" customFormat="1" ht="18" customHeight="1">
      <c r="B28" s="136" t="s">
        <v>248</v>
      </c>
      <c r="C28" s="28">
        <v>46269</v>
      </c>
      <c r="D28" s="48" t="s">
        <v>238</v>
      </c>
      <c r="E28" s="28">
        <v>46269</v>
      </c>
      <c r="F28" s="28">
        <v>46269</v>
      </c>
      <c r="G28" s="6" t="s">
        <v>69</v>
      </c>
      <c r="H28" s="48">
        <v>1623</v>
      </c>
      <c r="I28" s="7" t="s">
        <v>98</v>
      </c>
      <c r="J28" s="34">
        <v>15</v>
      </c>
      <c r="K28" s="6">
        <v>52500</v>
      </c>
      <c r="L28" s="9">
        <v>1.36</v>
      </c>
      <c r="M28" s="38">
        <f t="shared" si="20"/>
        <v>71400</v>
      </c>
      <c r="N28" s="38">
        <f t="shared" si="21"/>
        <v>6426</v>
      </c>
      <c r="O28" s="38">
        <f t="shared" si="22"/>
        <v>6426</v>
      </c>
      <c r="P28" s="38">
        <f t="shared" si="23"/>
        <v>84252</v>
      </c>
      <c r="Q28" s="38"/>
      <c r="R28" s="50"/>
      <c r="AK28" s="33"/>
    </row>
    <row r="29" spans="2:37" s="4" customFormat="1" ht="18" customHeight="1">
      <c r="B29" s="136" t="s">
        <v>236</v>
      </c>
      <c r="C29" s="28">
        <v>46269</v>
      </c>
      <c r="D29" s="48" t="s">
        <v>239</v>
      </c>
      <c r="E29" s="28">
        <v>46269</v>
      </c>
      <c r="F29" s="28">
        <v>46269</v>
      </c>
      <c r="G29" s="6" t="s">
        <v>68</v>
      </c>
      <c r="H29" s="48">
        <v>1842</v>
      </c>
      <c r="I29" s="7" t="s">
        <v>117</v>
      </c>
      <c r="J29" s="34">
        <v>15</v>
      </c>
      <c r="K29" s="6">
        <v>75000</v>
      </c>
      <c r="L29" s="9">
        <v>0.76</v>
      </c>
      <c r="M29" s="38">
        <f t="shared" si="20"/>
        <v>57000</v>
      </c>
      <c r="N29" s="38">
        <f t="shared" si="21"/>
        <v>5130</v>
      </c>
      <c r="O29" s="38">
        <f t="shared" si="22"/>
        <v>5130</v>
      </c>
      <c r="P29" s="38">
        <f t="shared" si="23"/>
        <v>67260</v>
      </c>
      <c r="Q29" s="38"/>
      <c r="R29" s="50"/>
      <c r="AK29" s="33"/>
    </row>
    <row r="30" spans="2:37" s="4" customFormat="1" ht="18" customHeight="1">
      <c r="B30" s="136" t="s">
        <v>249</v>
      </c>
      <c r="C30" s="28">
        <v>46269</v>
      </c>
      <c r="D30" s="48" t="s">
        <v>240</v>
      </c>
      <c r="E30" s="28">
        <v>46269</v>
      </c>
      <c r="F30" s="28">
        <v>46270</v>
      </c>
      <c r="G30" s="6" t="s">
        <v>69</v>
      </c>
      <c r="H30" s="48">
        <v>1622</v>
      </c>
      <c r="I30" s="7" t="s">
        <v>115</v>
      </c>
      <c r="J30" s="34">
        <v>3</v>
      </c>
      <c r="K30" s="6">
        <v>16640</v>
      </c>
      <c r="L30" s="9">
        <v>1.24</v>
      </c>
      <c r="M30" s="38">
        <f t="shared" si="20"/>
        <v>20633.599999999999</v>
      </c>
      <c r="N30" s="38">
        <f t="shared" si="21"/>
        <v>1857.0239999999999</v>
      </c>
      <c r="O30" s="38">
        <f t="shared" si="22"/>
        <v>1857.0239999999999</v>
      </c>
      <c r="P30" s="38">
        <f t="shared" si="23"/>
        <v>24348</v>
      </c>
      <c r="Q30" s="38"/>
      <c r="R30" s="50"/>
      <c r="AK30" s="33"/>
    </row>
    <row r="31" spans="2:37" s="4" customFormat="1" ht="18" customHeight="1">
      <c r="B31" s="136" t="s">
        <v>250</v>
      </c>
      <c r="C31" s="28">
        <v>46269</v>
      </c>
      <c r="D31" s="48" t="s">
        <v>241</v>
      </c>
      <c r="E31" s="28">
        <v>46269</v>
      </c>
      <c r="F31" s="28">
        <v>46270</v>
      </c>
      <c r="G31" s="6" t="s">
        <v>69</v>
      </c>
      <c r="H31" s="48">
        <v>2035</v>
      </c>
      <c r="I31" s="7" t="s">
        <v>80</v>
      </c>
      <c r="J31" s="34">
        <v>6</v>
      </c>
      <c r="K31" s="6">
        <v>18200</v>
      </c>
      <c r="L31" s="9">
        <v>1.34</v>
      </c>
      <c r="M31" s="38">
        <f t="shared" si="20"/>
        <v>24388</v>
      </c>
      <c r="N31" s="38">
        <f t="shared" si="21"/>
        <v>2194.92</v>
      </c>
      <c r="O31" s="38">
        <f t="shared" si="22"/>
        <v>2194.92</v>
      </c>
      <c r="P31" s="38">
        <f t="shared" si="23"/>
        <v>28778</v>
      </c>
      <c r="Q31" s="38"/>
      <c r="R31" s="50"/>
      <c r="AK31" s="33"/>
    </row>
    <row r="32" spans="2:37" s="4" customFormat="1" ht="18" customHeight="1">
      <c r="B32" s="136" t="s">
        <v>251</v>
      </c>
      <c r="C32" s="28">
        <v>46269</v>
      </c>
      <c r="D32" s="48" t="s">
        <v>242</v>
      </c>
      <c r="E32" s="28">
        <v>46269</v>
      </c>
      <c r="F32" s="28">
        <v>46270</v>
      </c>
      <c r="G32" s="6" t="s">
        <v>69</v>
      </c>
      <c r="H32" s="48">
        <v>1207</v>
      </c>
      <c r="I32" s="7" t="s">
        <v>116</v>
      </c>
      <c r="J32" s="34">
        <v>21</v>
      </c>
      <c r="K32" s="6">
        <v>45360</v>
      </c>
      <c r="L32" s="9">
        <v>1.83</v>
      </c>
      <c r="M32" s="38">
        <f t="shared" si="20"/>
        <v>83008.800000000003</v>
      </c>
      <c r="N32" s="38">
        <f t="shared" si="21"/>
        <v>7470.7920000000004</v>
      </c>
      <c r="O32" s="38">
        <f t="shared" si="22"/>
        <v>7470.7920000000004</v>
      </c>
      <c r="P32" s="38">
        <f t="shared" si="23"/>
        <v>97950</v>
      </c>
      <c r="Q32" s="38"/>
      <c r="R32" s="50"/>
      <c r="AK32" s="33"/>
    </row>
    <row r="33" spans="2:37" s="4" customFormat="1" ht="18" customHeight="1">
      <c r="B33" s="136" t="s">
        <v>252</v>
      </c>
      <c r="C33" s="28">
        <v>46269</v>
      </c>
      <c r="D33" s="48" t="s">
        <v>243</v>
      </c>
      <c r="E33" s="28">
        <v>46269</v>
      </c>
      <c r="F33" s="28">
        <v>46270</v>
      </c>
      <c r="G33" s="6" t="s">
        <v>69</v>
      </c>
      <c r="H33" s="48">
        <v>1841</v>
      </c>
      <c r="I33" s="7" t="s">
        <v>158</v>
      </c>
      <c r="J33" s="34">
        <v>12</v>
      </c>
      <c r="K33" s="6">
        <v>47040</v>
      </c>
      <c r="L33" s="9">
        <v>3.25</v>
      </c>
      <c r="M33" s="38">
        <f t="shared" si="20"/>
        <v>152880</v>
      </c>
      <c r="N33" s="38">
        <f t="shared" si="21"/>
        <v>13759.199999999999</v>
      </c>
      <c r="O33" s="38">
        <f t="shared" si="22"/>
        <v>13759.199999999999</v>
      </c>
      <c r="P33" s="38">
        <f t="shared" si="23"/>
        <v>180398</v>
      </c>
      <c r="Q33" s="38"/>
      <c r="R33" s="50"/>
      <c r="AK33" s="33"/>
    </row>
    <row r="34" spans="2:37" s="4" customFormat="1" ht="18" customHeight="1">
      <c r="B34" s="136" t="s">
        <v>253</v>
      </c>
      <c r="C34" s="28">
        <v>46269</v>
      </c>
      <c r="D34" s="48" t="s">
        <v>244</v>
      </c>
      <c r="E34" s="28">
        <v>46269</v>
      </c>
      <c r="F34" s="28">
        <v>46270</v>
      </c>
      <c r="G34" s="6" t="s">
        <v>69</v>
      </c>
      <c r="H34" s="48">
        <v>365</v>
      </c>
      <c r="I34" s="7" t="s">
        <v>165</v>
      </c>
      <c r="J34" s="34">
        <v>5</v>
      </c>
      <c r="K34" s="6">
        <v>63000</v>
      </c>
      <c r="L34" s="9">
        <v>0.49</v>
      </c>
      <c r="M34" s="38">
        <f t="shared" si="20"/>
        <v>30870</v>
      </c>
      <c r="N34" s="38">
        <f t="shared" si="21"/>
        <v>2778.2999999999997</v>
      </c>
      <c r="O34" s="38">
        <f t="shared" si="22"/>
        <v>2778.2999999999997</v>
      </c>
      <c r="P34" s="38">
        <f t="shared" si="23"/>
        <v>36427</v>
      </c>
      <c r="Q34" s="38"/>
      <c r="R34" s="50"/>
      <c r="AK34" s="33"/>
    </row>
    <row r="35" spans="2:37" s="4" customFormat="1" ht="18" customHeight="1">
      <c r="B35" s="136" t="s">
        <v>254</v>
      </c>
      <c r="C35" s="28">
        <v>46269</v>
      </c>
      <c r="D35" s="48" t="s">
        <v>245</v>
      </c>
      <c r="E35" s="28">
        <v>46269</v>
      </c>
      <c r="F35" s="28">
        <v>46270</v>
      </c>
      <c r="G35" s="6" t="s">
        <v>68</v>
      </c>
      <c r="H35" s="48">
        <v>2035</v>
      </c>
      <c r="I35" s="7" t="s">
        <v>80</v>
      </c>
      <c r="J35" s="34">
        <v>15</v>
      </c>
      <c r="K35" s="6">
        <v>45500</v>
      </c>
      <c r="L35" s="9">
        <v>1.34</v>
      </c>
      <c r="M35" s="38">
        <f t="shared" si="20"/>
        <v>60970</v>
      </c>
      <c r="N35" s="38">
        <f t="shared" si="21"/>
        <v>5487.3</v>
      </c>
      <c r="O35" s="38">
        <f t="shared" si="22"/>
        <v>5487.3</v>
      </c>
      <c r="P35" s="38">
        <f t="shared" si="23"/>
        <v>71945</v>
      </c>
      <c r="Q35" s="38"/>
      <c r="R35" s="50"/>
      <c r="AK35" s="33"/>
    </row>
    <row r="36" spans="2:37" s="4" customFormat="1" ht="18" customHeight="1">
      <c r="B36" s="136" t="s">
        <v>255</v>
      </c>
      <c r="C36" s="28">
        <v>46269</v>
      </c>
      <c r="D36" s="48" t="s">
        <v>246</v>
      </c>
      <c r="E36" s="28">
        <v>46269</v>
      </c>
      <c r="F36" s="28">
        <v>46270</v>
      </c>
      <c r="G36" s="6" t="s">
        <v>68</v>
      </c>
      <c r="H36" s="48">
        <v>1622</v>
      </c>
      <c r="I36" s="7" t="s">
        <v>76</v>
      </c>
      <c r="J36" s="34">
        <v>45</v>
      </c>
      <c r="K36" s="6">
        <v>33600</v>
      </c>
      <c r="L36" s="9">
        <v>4.34</v>
      </c>
      <c r="M36" s="38">
        <f t="shared" si="20"/>
        <v>145824</v>
      </c>
      <c r="N36" s="38">
        <f t="shared" si="21"/>
        <v>13124.16</v>
      </c>
      <c r="O36" s="38">
        <f t="shared" si="22"/>
        <v>13124.16</v>
      </c>
      <c r="P36" s="38">
        <f t="shared" si="23"/>
        <v>172072</v>
      </c>
      <c r="Q36" s="38"/>
      <c r="R36" s="50"/>
      <c r="AK36" s="33"/>
    </row>
    <row r="37" spans="2:37" s="4" customFormat="1" ht="18" customHeight="1">
      <c r="B37" s="136" t="s">
        <v>262</v>
      </c>
      <c r="C37" s="28">
        <v>46270</v>
      </c>
      <c r="D37" s="48" t="s">
        <v>259</v>
      </c>
      <c r="E37" s="28">
        <v>46270</v>
      </c>
      <c r="F37" s="28">
        <v>46271</v>
      </c>
      <c r="G37" s="6" t="s">
        <v>69</v>
      </c>
      <c r="H37" s="48">
        <v>1841</v>
      </c>
      <c r="I37" s="7" t="s">
        <v>158</v>
      </c>
      <c r="J37" s="34">
        <v>9</v>
      </c>
      <c r="K37" s="6">
        <v>35280</v>
      </c>
      <c r="L37" s="9">
        <v>3.25</v>
      </c>
      <c r="M37" s="38">
        <f t="shared" ref="M37:M39" si="24">+K37*L37</f>
        <v>114660</v>
      </c>
      <c r="N37" s="38">
        <f t="shared" ref="N37:N39" si="25">+M37*9%</f>
        <v>10319.4</v>
      </c>
      <c r="O37" s="38">
        <f t="shared" ref="O37:O39" si="26">+M37*9%</f>
        <v>10319.4</v>
      </c>
      <c r="P37" s="38">
        <f t="shared" ref="P37:P39" si="27">ROUND(SUM(M37+N37+O37),0)</f>
        <v>135299</v>
      </c>
      <c r="Q37" s="38"/>
      <c r="R37" s="50"/>
      <c r="AK37" s="33"/>
    </row>
    <row r="38" spans="2:37" s="4" customFormat="1" ht="18" customHeight="1">
      <c r="B38" s="136" t="s">
        <v>263</v>
      </c>
      <c r="C38" s="28">
        <v>46270</v>
      </c>
      <c r="D38" s="48" t="s">
        <v>260</v>
      </c>
      <c r="E38" s="28">
        <v>46270</v>
      </c>
      <c r="F38" s="28">
        <v>46271</v>
      </c>
      <c r="G38" s="6" t="s">
        <v>68</v>
      </c>
      <c r="H38" s="48">
        <v>2035</v>
      </c>
      <c r="I38" s="7" t="s">
        <v>80</v>
      </c>
      <c r="J38" s="34">
        <v>15</v>
      </c>
      <c r="K38" s="6">
        <v>45500</v>
      </c>
      <c r="L38" s="9">
        <v>1.34</v>
      </c>
      <c r="M38" s="38">
        <f t="shared" si="24"/>
        <v>60970</v>
      </c>
      <c r="N38" s="38">
        <f t="shared" si="25"/>
        <v>5487.3</v>
      </c>
      <c r="O38" s="38">
        <f t="shared" si="26"/>
        <v>5487.3</v>
      </c>
      <c r="P38" s="38">
        <f t="shared" si="27"/>
        <v>71945</v>
      </c>
      <c r="Q38" s="38"/>
      <c r="R38" s="50"/>
      <c r="AK38" s="33"/>
    </row>
    <row r="39" spans="2:37" s="4" customFormat="1" ht="18" customHeight="1">
      <c r="B39" s="136"/>
      <c r="C39" s="28">
        <v>46270</v>
      </c>
      <c r="D39" s="48" t="s">
        <v>261</v>
      </c>
      <c r="E39" s="28">
        <v>46270</v>
      </c>
      <c r="F39" s="28">
        <v>46271</v>
      </c>
      <c r="G39" s="6" t="s">
        <v>68</v>
      </c>
      <c r="H39" s="48">
        <v>1841</v>
      </c>
      <c r="I39" s="7" t="s">
        <v>76</v>
      </c>
      <c r="J39" s="34">
        <v>36</v>
      </c>
      <c r="K39" s="6">
        <v>26880</v>
      </c>
      <c r="L39" s="9">
        <v>4.34</v>
      </c>
      <c r="M39" s="38">
        <f t="shared" si="24"/>
        <v>116659.2</v>
      </c>
      <c r="N39" s="38">
        <f t="shared" si="25"/>
        <v>10499.328</v>
      </c>
      <c r="O39" s="38">
        <f t="shared" si="26"/>
        <v>10499.328</v>
      </c>
      <c r="P39" s="38">
        <f t="shared" si="27"/>
        <v>137658</v>
      </c>
      <c r="Q39" s="38"/>
      <c r="R39" s="50"/>
      <c r="AK39" s="33"/>
    </row>
    <row r="40" spans="2:37" s="4" customFormat="1" ht="18" customHeight="1">
      <c r="B40" s="136"/>
      <c r="C40" s="28"/>
      <c r="D40" s="48"/>
      <c r="E40" s="28"/>
      <c r="F40" s="28"/>
      <c r="G40" s="6"/>
      <c r="H40" s="48"/>
      <c r="I40" s="7"/>
      <c r="J40" s="34"/>
      <c r="K40" s="6"/>
      <c r="L40" s="9"/>
      <c r="M40" s="38"/>
      <c r="N40" s="38"/>
      <c r="O40" s="38"/>
      <c r="P40" s="38"/>
      <c r="Q40" s="38"/>
      <c r="R40" s="50"/>
      <c r="AK40" s="33"/>
    </row>
    <row r="41" spans="2:37" s="4" customFormat="1" ht="24" customHeight="1">
      <c r="B41" s="248" t="s">
        <v>11</v>
      </c>
      <c r="C41" s="249"/>
      <c r="D41" s="249"/>
      <c r="E41" s="249"/>
      <c r="F41" s="249"/>
      <c r="G41" s="249"/>
      <c r="H41" s="249"/>
      <c r="I41" s="250"/>
      <c r="J41" s="23">
        <f>SUM(J10:J40)</f>
        <v>436</v>
      </c>
      <c r="K41" s="23">
        <f>SUM(K10:K40)</f>
        <v>1535280</v>
      </c>
      <c r="L41" s="43"/>
      <c r="M41" s="57">
        <f>ROUND(SUM(M10:M40),0)</f>
        <v>2076106</v>
      </c>
      <c r="N41" s="57">
        <f>ROUND(SUM(N10:N40),0)</f>
        <v>186850</v>
      </c>
      <c r="O41" s="57">
        <f>ROUND(SUM(O10:O40),0)</f>
        <v>186850</v>
      </c>
      <c r="P41" s="57">
        <f>ROUND(SUM(P10:P40),0)</f>
        <v>2449805</v>
      </c>
      <c r="Q41" s="24"/>
      <c r="AK41" s="33"/>
    </row>
    <row r="45" spans="2:37" ht="18" customHeight="1">
      <c r="Q45" s="18"/>
    </row>
  </sheetData>
  <autoFilter ref="B9:P9">
    <filterColumn colId="7"/>
  </autoFilter>
  <mergeCells count="2">
    <mergeCell ref="B41:I41"/>
    <mergeCell ref="B2:P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2:I66"/>
  <sheetViews>
    <sheetView topLeftCell="A43" workbookViewId="0">
      <selection activeCell="L57" sqref="L57:L58"/>
    </sheetView>
  </sheetViews>
  <sheetFormatPr defaultRowHeight="15.75"/>
  <cols>
    <col min="1" max="1" width="2.85546875" style="44" customWidth="1"/>
    <col min="2" max="2" width="6.5703125" style="45" customWidth="1"/>
    <col min="3" max="3" width="37.85546875" style="45" customWidth="1"/>
    <col min="4" max="4" width="15.7109375" style="45" customWidth="1"/>
    <col min="5" max="6" width="14.28515625" style="44" customWidth="1"/>
    <col min="7" max="7" width="14.28515625" style="44" hidden="1" customWidth="1"/>
    <col min="8" max="8" width="14.28515625" style="44" customWidth="1"/>
    <col min="9" max="9" width="17.85546875" style="44" customWidth="1"/>
    <col min="10" max="10" width="10.28515625" style="44" bestFit="1" customWidth="1"/>
    <col min="11" max="11" width="9.140625" style="44"/>
    <col min="12" max="12" width="9.7109375" style="44" bestFit="1" customWidth="1"/>
    <col min="13" max="16384" width="9.140625" style="44"/>
  </cols>
  <sheetData>
    <row r="2" spans="2:9" ht="16.5" thickBot="1">
      <c r="B2" s="44"/>
    </row>
    <row r="3" spans="2:9" ht="16.5" thickBot="1">
      <c r="B3" s="255" t="s">
        <v>198</v>
      </c>
      <c r="C3" s="256"/>
      <c r="D3" s="256"/>
      <c r="E3" s="256"/>
      <c r="F3" s="256"/>
      <c r="G3" s="256"/>
      <c r="H3" s="256"/>
      <c r="I3" s="256"/>
    </row>
    <row r="4" spans="2:9">
      <c r="C4" s="228"/>
      <c r="E4" s="229"/>
      <c r="F4" s="228"/>
      <c r="G4" s="45"/>
      <c r="H4" s="45"/>
      <c r="I4" s="230">
        <f ca="1">+NOW()</f>
        <v>46270.550292708336</v>
      </c>
    </row>
    <row r="5" spans="2:9" ht="47.25">
      <c r="B5" s="231" t="s">
        <v>199</v>
      </c>
      <c r="C5" s="232" t="s">
        <v>200</v>
      </c>
      <c r="D5" s="232" t="s">
        <v>201</v>
      </c>
      <c r="E5" s="232" t="s">
        <v>202</v>
      </c>
      <c r="F5" s="232" t="s">
        <v>203</v>
      </c>
      <c r="G5" s="232" t="s">
        <v>204</v>
      </c>
      <c r="H5" s="232" t="s">
        <v>205</v>
      </c>
      <c r="I5" s="232" t="s">
        <v>206</v>
      </c>
    </row>
    <row r="6" spans="2:9" ht="17.25">
      <c r="B6" s="233"/>
      <c r="C6" s="234"/>
      <c r="D6" s="257" t="s">
        <v>207</v>
      </c>
      <c r="E6" s="258"/>
      <c r="F6" s="259"/>
      <c r="G6" s="235"/>
      <c r="H6" s="235"/>
      <c r="I6" s="235"/>
    </row>
    <row r="7" spans="2:9">
      <c r="B7" s="236">
        <v>1</v>
      </c>
      <c r="C7" s="237" t="s">
        <v>128</v>
      </c>
      <c r="D7" s="237">
        <f>+[3]Receipt!D5</f>
        <v>0</v>
      </c>
      <c r="E7" s="237">
        <f>+[3]Receipt!AJ5</f>
        <v>0</v>
      </c>
      <c r="F7" s="237">
        <f>+[3]Issue!AJ5</f>
        <v>0</v>
      </c>
      <c r="G7" s="237"/>
      <c r="H7" s="237">
        <v>0</v>
      </c>
      <c r="I7" s="237">
        <f>+[3]Issue!AK5</f>
        <v>0</v>
      </c>
    </row>
    <row r="8" spans="2:9">
      <c r="B8" s="236">
        <v>2</v>
      </c>
      <c r="C8" s="237" t="s">
        <v>129</v>
      </c>
      <c r="D8" s="237">
        <f>+[3]Receipt!D6</f>
        <v>0</v>
      </c>
      <c r="E8" s="237">
        <f>+[3]Receipt!AJ6</f>
        <v>0</v>
      </c>
      <c r="F8" s="237">
        <f>+[3]Issue!AJ6</f>
        <v>0</v>
      </c>
      <c r="G8" s="237"/>
      <c r="H8" s="237">
        <v>0</v>
      </c>
      <c r="I8" s="237">
        <f>+[3]Issue!AK6+H8</f>
        <v>0</v>
      </c>
    </row>
    <row r="9" spans="2:9">
      <c r="B9" s="236">
        <v>3</v>
      </c>
      <c r="C9" s="237" t="s">
        <v>115</v>
      </c>
      <c r="D9" s="237">
        <f>+[3]Receipt!D7</f>
        <v>299520</v>
      </c>
      <c r="E9" s="237">
        <f>+[3]Receipt!AJ7</f>
        <v>0</v>
      </c>
      <c r="F9" s="237">
        <f>+[3]Issue!AJ7</f>
        <v>99840</v>
      </c>
      <c r="G9" s="237"/>
      <c r="H9" s="237">
        <v>0</v>
      </c>
      <c r="I9" s="237">
        <f>+[3]Issue!AK7</f>
        <v>199680</v>
      </c>
    </row>
    <row r="10" spans="2:9">
      <c r="B10" s="236">
        <v>4</v>
      </c>
      <c r="C10" s="237" t="s">
        <v>78</v>
      </c>
      <c r="D10" s="237">
        <f>+[3]Receipt!D8</f>
        <v>0</v>
      </c>
      <c r="E10" s="237">
        <f>+[3]Receipt!AJ8</f>
        <v>252000</v>
      </c>
      <c r="F10" s="237">
        <f>+[3]Issue!AJ8</f>
        <v>0</v>
      </c>
      <c r="G10" s="237"/>
      <c r="H10" s="237">
        <v>0</v>
      </c>
      <c r="I10" s="237">
        <f>+[3]Issue!AK8</f>
        <v>252000</v>
      </c>
    </row>
    <row r="11" spans="2:9">
      <c r="B11" s="236">
        <v>5</v>
      </c>
      <c r="C11" s="237" t="s">
        <v>132</v>
      </c>
      <c r="D11" s="237">
        <f>+[3]Receipt!D9</f>
        <v>406080</v>
      </c>
      <c r="E11" s="237">
        <f>+[3]Receipt!AJ9</f>
        <v>0</v>
      </c>
      <c r="F11" s="237">
        <f>+[3]Issue!AJ9</f>
        <v>0</v>
      </c>
      <c r="G11" s="237"/>
      <c r="H11" s="237">
        <v>0</v>
      </c>
      <c r="I11" s="237">
        <f>+[3]Issue!AK9</f>
        <v>406080</v>
      </c>
    </row>
    <row r="12" spans="2:9">
      <c r="B12" s="236">
        <v>6</v>
      </c>
      <c r="C12" s="237" t="s">
        <v>134</v>
      </c>
      <c r="D12" s="237">
        <f>+[3]Receipt!D10</f>
        <v>73710</v>
      </c>
      <c r="E12" s="237">
        <f>+[3]Receipt!AJ10</f>
        <v>0</v>
      </c>
      <c r="F12" s="237">
        <f>+[3]Issue!AJ10</f>
        <v>0</v>
      </c>
      <c r="G12" s="237"/>
      <c r="H12" s="237">
        <v>0</v>
      </c>
      <c r="I12" s="237">
        <f>+[3]Issue!AK10</f>
        <v>73710</v>
      </c>
    </row>
    <row r="13" spans="2:9">
      <c r="B13" s="236">
        <v>7</v>
      </c>
      <c r="C13" s="237" t="s">
        <v>208</v>
      </c>
      <c r="D13" s="237">
        <f>+[3]Receipt!D11</f>
        <v>131040</v>
      </c>
      <c r="E13" s="237">
        <f>+[3]Receipt!AJ11</f>
        <v>0</v>
      </c>
      <c r="F13" s="237">
        <f>+[3]Issue!AJ11</f>
        <v>0</v>
      </c>
      <c r="G13" s="237"/>
      <c r="H13" s="237">
        <v>0</v>
      </c>
      <c r="I13" s="237">
        <f>+[3]Issue!AK11</f>
        <v>131040</v>
      </c>
    </row>
    <row r="14" spans="2:9">
      <c r="B14" s="236">
        <v>8</v>
      </c>
      <c r="C14" s="237" t="s">
        <v>138</v>
      </c>
      <c r="D14" s="237">
        <f>+[3]Receipt!D12</f>
        <v>105840</v>
      </c>
      <c r="E14" s="237">
        <f>+[3]Receipt!AJ12</f>
        <v>0</v>
      </c>
      <c r="F14" s="237">
        <f>+[3]Issue!AJ12</f>
        <v>0</v>
      </c>
      <c r="G14" s="237"/>
      <c r="H14" s="237">
        <v>0</v>
      </c>
      <c r="I14" s="237">
        <f>+[3]Issue!AK12</f>
        <v>105840</v>
      </c>
    </row>
    <row r="15" spans="2:9">
      <c r="B15" s="236">
        <v>9</v>
      </c>
      <c r="C15" s="237" t="s">
        <v>80</v>
      </c>
      <c r="D15" s="237">
        <f>+[3]Receipt!D13</f>
        <v>0</v>
      </c>
      <c r="E15" s="237">
        <f>+[3]Receipt!AJ13</f>
        <v>737100</v>
      </c>
      <c r="F15" s="237">
        <f>+[3]Issue!AJ13</f>
        <v>354900</v>
      </c>
      <c r="G15" s="237"/>
      <c r="H15" s="237">
        <v>0</v>
      </c>
      <c r="I15" s="237">
        <f>+[3]Issue!AK13</f>
        <v>382200</v>
      </c>
    </row>
    <row r="16" spans="2:9">
      <c r="B16" s="236">
        <v>10</v>
      </c>
      <c r="C16" s="237" t="s">
        <v>116</v>
      </c>
      <c r="D16" s="237">
        <f>+[3]Receipt!D14</f>
        <v>343440</v>
      </c>
      <c r="E16" s="237">
        <f>+[3]Receipt!AJ14</f>
        <v>0</v>
      </c>
      <c r="F16" s="237">
        <f>+[3]Issue!AJ14</f>
        <v>174960</v>
      </c>
      <c r="G16" s="237"/>
      <c r="H16" s="237">
        <v>0</v>
      </c>
      <c r="I16" s="237">
        <f>+[3]Issue!AK14</f>
        <v>168480</v>
      </c>
    </row>
    <row r="17" spans="2:9">
      <c r="B17" s="236">
        <v>11</v>
      </c>
      <c r="C17" s="237" t="s">
        <v>84</v>
      </c>
      <c r="D17" s="237">
        <f>+[3]Receipt!D15</f>
        <v>0</v>
      </c>
      <c r="E17" s="237">
        <f>+[3]Receipt!AJ15</f>
        <v>20800</v>
      </c>
      <c r="F17" s="237">
        <f>+[3]Issue!AJ15</f>
        <v>0</v>
      </c>
      <c r="G17" s="237"/>
      <c r="H17" s="237">
        <v>0</v>
      </c>
      <c r="I17" s="237">
        <f>+[3]Issue!AK15</f>
        <v>20800</v>
      </c>
    </row>
    <row r="18" spans="2:9">
      <c r="B18" s="236">
        <v>12</v>
      </c>
      <c r="C18" s="237" t="s">
        <v>141</v>
      </c>
      <c r="D18" s="237">
        <f>+[3]Receipt!D16</f>
        <v>261360</v>
      </c>
      <c r="E18" s="237">
        <f>+[3]Receipt!AJ16</f>
        <v>0</v>
      </c>
      <c r="F18" s="237">
        <f>+[3]Issue!AJ16</f>
        <v>0</v>
      </c>
      <c r="G18" s="237"/>
      <c r="H18" s="237">
        <v>0</v>
      </c>
      <c r="I18" s="237">
        <f>+[3]Issue!AK16</f>
        <v>261360</v>
      </c>
    </row>
    <row r="19" spans="2:9">
      <c r="B19" s="236">
        <v>13</v>
      </c>
      <c r="C19" s="237" t="s">
        <v>143</v>
      </c>
      <c r="D19" s="237">
        <f>+[3]Receipt!D17</f>
        <v>98280</v>
      </c>
      <c r="E19" s="237">
        <f>+[3]Receipt!AJ17</f>
        <v>0</v>
      </c>
      <c r="F19" s="237">
        <f>+[3]Issue!AJ17</f>
        <v>0</v>
      </c>
      <c r="G19" s="237"/>
      <c r="H19" s="237">
        <v>0</v>
      </c>
      <c r="I19" s="237">
        <f>+[3]Issue!AK17</f>
        <v>98280</v>
      </c>
    </row>
    <row r="20" spans="2:9">
      <c r="B20" s="236">
        <v>14</v>
      </c>
      <c r="C20" s="237" t="s">
        <v>145</v>
      </c>
      <c r="D20" s="237">
        <f>+[3]Receipt!D18</f>
        <v>0</v>
      </c>
      <c r="E20" s="237">
        <f>+[3]Receipt!AJ18</f>
        <v>0</v>
      </c>
      <c r="F20" s="237">
        <f>+[3]Issue!AJ18</f>
        <v>0</v>
      </c>
      <c r="G20" s="237"/>
      <c r="H20" s="237">
        <v>0</v>
      </c>
      <c r="I20" s="237">
        <f>+[3]Issue!AK18</f>
        <v>0</v>
      </c>
    </row>
    <row r="21" spans="2:9">
      <c r="B21" s="236">
        <v>15</v>
      </c>
      <c r="C21" s="237" t="s">
        <v>147</v>
      </c>
      <c r="D21" s="237">
        <f>+[3]Receipt!D19</f>
        <v>32832</v>
      </c>
      <c r="E21" s="237">
        <f>+[3]Receipt!AJ19</f>
        <v>0</v>
      </c>
      <c r="F21" s="237">
        <f>+[3]Issue!AJ19</f>
        <v>0</v>
      </c>
      <c r="G21" s="237"/>
      <c r="H21" s="237">
        <v>0</v>
      </c>
      <c r="I21" s="237">
        <f>+[3]Issue!AK19</f>
        <v>32832</v>
      </c>
    </row>
    <row r="22" spans="2:9">
      <c r="B22" s="236">
        <v>16</v>
      </c>
      <c r="C22" s="237" t="s">
        <v>149</v>
      </c>
      <c r="D22" s="237">
        <f>+[3]Receipt!D20</f>
        <v>72960</v>
      </c>
      <c r="E22" s="237">
        <f>+[3]Receipt!AJ20</f>
        <v>0</v>
      </c>
      <c r="F22" s="237">
        <f>+[3]Issue!AJ20</f>
        <v>0</v>
      </c>
      <c r="G22" s="237"/>
      <c r="H22" s="237">
        <v>0</v>
      </c>
      <c r="I22" s="237">
        <f>+[3]Issue!AK20</f>
        <v>72960</v>
      </c>
    </row>
    <row r="23" spans="2:9">
      <c r="B23" s="236">
        <v>17</v>
      </c>
      <c r="C23" s="237" t="s">
        <v>76</v>
      </c>
      <c r="D23" s="237">
        <f>+[3]Receipt!D21</f>
        <v>53760</v>
      </c>
      <c r="E23" s="237">
        <f>+[3]Receipt!AJ21</f>
        <v>40320</v>
      </c>
      <c r="F23" s="237">
        <f>+[3]Issue!AJ21</f>
        <v>60480</v>
      </c>
      <c r="G23" s="237"/>
      <c r="H23" s="237">
        <v>0</v>
      </c>
      <c r="I23" s="237">
        <f>+[3]Issue!AK21</f>
        <v>33600</v>
      </c>
    </row>
    <row r="24" spans="2:9">
      <c r="B24" s="236">
        <v>18</v>
      </c>
      <c r="C24" s="237" t="s">
        <v>151</v>
      </c>
      <c r="D24" s="237">
        <f>+[3]Receipt!D22</f>
        <v>16800</v>
      </c>
      <c r="E24" s="237">
        <f>+[3]Receipt!AJ22</f>
        <v>0</v>
      </c>
      <c r="F24" s="237">
        <f>+[3]Issue!AJ22</f>
        <v>0</v>
      </c>
      <c r="G24" s="237"/>
      <c r="H24" s="237">
        <v>0</v>
      </c>
      <c r="I24" s="237">
        <f>+[3]Issue!AK22</f>
        <v>16800</v>
      </c>
    </row>
    <row r="25" spans="2:9">
      <c r="B25" s="236">
        <v>19</v>
      </c>
      <c r="C25" s="237" t="s">
        <v>153</v>
      </c>
      <c r="D25" s="237">
        <f>+[3]Receipt!D23</f>
        <v>0</v>
      </c>
      <c r="E25" s="237">
        <f>+[3]Receipt!AJ23</f>
        <v>0</v>
      </c>
      <c r="F25" s="237">
        <f>+[3]Issue!AJ23</f>
        <v>0</v>
      </c>
      <c r="G25" s="237"/>
      <c r="H25" s="237">
        <v>0</v>
      </c>
      <c r="I25" s="237">
        <f>+[3]Issue!AK23</f>
        <v>0</v>
      </c>
    </row>
    <row r="26" spans="2:9">
      <c r="B26" s="236">
        <v>20</v>
      </c>
      <c r="C26" s="237" t="s">
        <v>155</v>
      </c>
      <c r="D26" s="237">
        <f>+[3]Receipt!D24</f>
        <v>80640</v>
      </c>
      <c r="E26" s="237">
        <f>+[3]Receipt!AJ24</f>
        <v>0</v>
      </c>
      <c r="F26" s="237">
        <f>+[3]Issue!AJ24</f>
        <v>0</v>
      </c>
      <c r="G26" s="237"/>
      <c r="H26" s="237">
        <v>0</v>
      </c>
      <c r="I26" s="237">
        <f>+[3]Issue!AK24</f>
        <v>80640</v>
      </c>
    </row>
    <row r="27" spans="2:9" ht="17.25">
      <c r="B27" s="238"/>
      <c r="C27" s="234"/>
      <c r="D27" s="257" t="s">
        <v>209</v>
      </c>
      <c r="E27" s="258"/>
      <c r="F27" s="259"/>
      <c r="G27" s="243"/>
      <c r="H27" s="242"/>
      <c r="I27" s="239"/>
    </row>
    <row r="28" spans="2:9">
      <c r="B28" s="236">
        <v>21</v>
      </c>
      <c r="C28" s="237" t="s">
        <v>158</v>
      </c>
      <c r="D28" s="237">
        <f>+[3]Receipt!D26</f>
        <v>141120</v>
      </c>
      <c r="E28" s="237">
        <f>+[3]Receipt!AJ26</f>
        <v>0</v>
      </c>
      <c r="F28" s="237">
        <f>+[3]Issue!AJ26</f>
        <v>117600</v>
      </c>
      <c r="G28" s="237"/>
      <c r="H28" s="237">
        <v>0</v>
      </c>
      <c r="I28" s="237">
        <f>+[3]Issue!AK26</f>
        <v>23520</v>
      </c>
    </row>
    <row r="29" spans="2:9">
      <c r="B29" s="236">
        <v>22</v>
      </c>
      <c r="C29" s="237" t="s">
        <v>82</v>
      </c>
      <c r="D29" s="237">
        <f>+[3]Receipt!D27</f>
        <v>29400</v>
      </c>
      <c r="E29" s="237">
        <f>+[3]Receipt!AJ27</f>
        <v>29400</v>
      </c>
      <c r="F29" s="237">
        <f>+[3]Issue!AJ27</f>
        <v>0</v>
      </c>
      <c r="G29" s="237"/>
      <c r="H29" s="237">
        <v>0</v>
      </c>
      <c r="I29" s="237">
        <f>+[3]Issue!AK27</f>
        <v>58800</v>
      </c>
    </row>
    <row r="30" spans="2:9">
      <c r="B30" s="236">
        <v>23</v>
      </c>
      <c r="C30" s="237" t="s">
        <v>160</v>
      </c>
      <c r="D30" s="237">
        <f>+[3]Receipt!D28</f>
        <v>23760</v>
      </c>
      <c r="E30" s="237">
        <f>+[3]Receipt!AJ28</f>
        <v>0</v>
      </c>
      <c r="F30" s="237">
        <f>+[3]Issue!AJ28</f>
        <v>0</v>
      </c>
      <c r="G30" s="237"/>
      <c r="H30" s="237">
        <v>0</v>
      </c>
      <c r="I30" s="237">
        <f>+[3]Issue!AK28</f>
        <v>23760</v>
      </c>
    </row>
    <row r="31" spans="2:9">
      <c r="B31" s="236">
        <v>24</v>
      </c>
      <c r="C31" s="237" t="s">
        <v>74</v>
      </c>
      <c r="D31" s="237">
        <f>+[3]Receipt!D29</f>
        <v>0</v>
      </c>
      <c r="E31" s="237">
        <f>+[3]Receipt!AJ29</f>
        <v>159616</v>
      </c>
      <c r="F31" s="237">
        <f>+[3]Issue!AJ29</f>
        <v>0</v>
      </c>
      <c r="G31" s="237"/>
      <c r="H31" s="237">
        <v>0</v>
      </c>
      <c r="I31" s="237">
        <f>+[3]Issue!AK29</f>
        <v>159616</v>
      </c>
    </row>
    <row r="32" spans="2:9">
      <c r="B32" s="236">
        <v>25</v>
      </c>
      <c r="C32" s="237" t="s">
        <v>161</v>
      </c>
      <c r="D32" s="237">
        <f>+[3]Receipt!D30</f>
        <v>33480</v>
      </c>
      <c r="E32" s="237">
        <f>+[3]Receipt!AJ30</f>
        <v>0</v>
      </c>
      <c r="F32" s="237">
        <f>+[3]Issue!AJ30</f>
        <v>0</v>
      </c>
      <c r="G32" s="237"/>
      <c r="H32" s="237">
        <v>0</v>
      </c>
      <c r="I32" s="237">
        <f>+[3]Issue!AK30</f>
        <v>33480</v>
      </c>
    </row>
    <row r="33" spans="2:9" ht="17.25">
      <c r="B33" s="238"/>
      <c r="C33" s="234"/>
      <c r="D33" s="257" t="s">
        <v>210</v>
      </c>
      <c r="E33" s="258"/>
      <c r="F33" s="259"/>
      <c r="G33" s="243"/>
      <c r="H33" s="242"/>
      <c r="I33" s="239"/>
    </row>
    <row r="34" spans="2:9">
      <c r="B34" s="236">
        <v>26</v>
      </c>
      <c r="C34" s="237" t="s">
        <v>91</v>
      </c>
      <c r="D34" s="237">
        <f>+[3]Receipt!D32</f>
        <v>336000</v>
      </c>
      <c r="E34" s="237">
        <f>+[3]Receipt!AJ32</f>
        <v>144000</v>
      </c>
      <c r="F34" s="237">
        <f>+[3]Issue!AJ32</f>
        <v>0</v>
      </c>
      <c r="G34" s="237"/>
      <c r="H34" s="237">
        <v>0</v>
      </c>
      <c r="I34" s="237">
        <f>+[3]Issue!AK32</f>
        <v>480000</v>
      </c>
    </row>
    <row r="35" spans="2:9">
      <c r="B35" s="236">
        <v>27</v>
      </c>
      <c r="C35" s="237" t="s">
        <v>165</v>
      </c>
      <c r="D35" s="237">
        <f>+[3]Receipt!D33</f>
        <v>239400</v>
      </c>
      <c r="E35" s="237">
        <f>+[3]Receipt!AJ33</f>
        <v>0</v>
      </c>
      <c r="F35" s="237">
        <f>+[3]Issue!AJ33</f>
        <v>163800</v>
      </c>
      <c r="G35" s="237"/>
      <c r="H35" s="237">
        <v>0</v>
      </c>
      <c r="I35" s="237">
        <f>+[3]Issue!AK33</f>
        <v>75600</v>
      </c>
    </row>
    <row r="36" spans="2:9">
      <c r="B36" s="236">
        <v>28</v>
      </c>
      <c r="C36" s="237" t="s">
        <v>87</v>
      </c>
      <c r="D36" s="237">
        <f>+[3]Receipt!D34</f>
        <v>0</v>
      </c>
      <c r="E36" s="237">
        <f>+[3]Receipt!AJ34</f>
        <v>151200</v>
      </c>
      <c r="F36" s="237">
        <f>+[3]Issue!AJ34</f>
        <v>151200</v>
      </c>
      <c r="G36" s="237"/>
      <c r="H36" s="237">
        <v>0</v>
      </c>
      <c r="I36" s="237">
        <f>+[3]Issue!AK34</f>
        <v>0</v>
      </c>
    </row>
    <row r="37" spans="2:9">
      <c r="B37" s="236">
        <v>29</v>
      </c>
      <c r="C37" s="237" t="s">
        <v>92</v>
      </c>
      <c r="D37" s="237">
        <f>+[3]Receipt!D35</f>
        <v>54000</v>
      </c>
      <c r="E37" s="237">
        <f>+[3]Receipt!AJ35</f>
        <v>72000</v>
      </c>
      <c r="F37" s="237">
        <f>+[3]Issue!AJ35</f>
        <v>0</v>
      </c>
      <c r="G37" s="237"/>
      <c r="H37" s="237">
        <v>0</v>
      </c>
      <c r="I37" s="237">
        <f>+[3]Issue!AK35</f>
        <v>126000</v>
      </c>
    </row>
    <row r="38" spans="2:9">
      <c r="B38" s="236">
        <v>30</v>
      </c>
      <c r="C38" s="237" t="s">
        <v>94</v>
      </c>
      <c r="D38" s="237">
        <f>+[3]Receipt!D36</f>
        <v>90000</v>
      </c>
      <c r="E38" s="237">
        <f>+[3]Receipt!AJ36</f>
        <v>105000</v>
      </c>
      <c r="F38" s="237">
        <f>+[3]Issue!AJ36</f>
        <v>0</v>
      </c>
      <c r="G38" s="237"/>
      <c r="H38" s="237">
        <v>0</v>
      </c>
      <c r="I38" s="237">
        <f>+[3]Issue!AK36</f>
        <v>195000</v>
      </c>
    </row>
    <row r="39" spans="2:9">
      <c r="B39" s="236">
        <v>31</v>
      </c>
      <c r="C39" s="237" t="s">
        <v>88</v>
      </c>
      <c r="D39" s="237">
        <f>+[3]Receipt!D37</f>
        <v>0</v>
      </c>
      <c r="E39" s="237">
        <f>+[3]Receipt!AJ37</f>
        <v>789250</v>
      </c>
      <c r="F39" s="237">
        <f>+[3]Issue!AJ37</f>
        <v>0</v>
      </c>
      <c r="G39" s="237"/>
      <c r="H39" s="237">
        <v>0</v>
      </c>
      <c r="I39" s="237">
        <f>+[3]Issue!AK37</f>
        <v>789250</v>
      </c>
    </row>
    <row r="40" spans="2:9">
      <c r="B40" s="236">
        <v>32</v>
      </c>
      <c r="C40" s="237" t="s">
        <v>89</v>
      </c>
      <c r="D40" s="237">
        <f>+[3]Receipt!D38</f>
        <v>299250</v>
      </c>
      <c r="E40" s="237">
        <f>+[3]Receipt!AJ38</f>
        <v>94500</v>
      </c>
      <c r="F40" s="237">
        <f>+[3]Issue!AJ38</f>
        <v>0</v>
      </c>
      <c r="G40" s="237"/>
      <c r="H40" s="237">
        <v>0</v>
      </c>
      <c r="I40" s="237">
        <f>+[3]Issue!AK38</f>
        <v>393750</v>
      </c>
    </row>
    <row r="41" spans="2:9">
      <c r="B41" s="236">
        <v>33</v>
      </c>
      <c r="C41" s="237" t="s">
        <v>99</v>
      </c>
      <c r="D41" s="237">
        <f>+[3]Receipt!D39</f>
        <v>63000</v>
      </c>
      <c r="E41" s="237">
        <f>+[3]Receipt!AJ39</f>
        <v>703500</v>
      </c>
      <c r="F41" s="237">
        <f>+[3]Issue!AJ39</f>
        <v>0</v>
      </c>
      <c r="G41" s="237"/>
      <c r="H41" s="237">
        <v>0</v>
      </c>
      <c r="I41" s="237">
        <f>+[3]Issue!AK39</f>
        <v>766500</v>
      </c>
    </row>
    <row r="42" spans="2:9">
      <c r="B42" s="236">
        <v>34</v>
      </c>
      <c r="C42" s="237" t="s">
        <v>118</v>
      </c>
      <c r="D42" s="237">
        <f>+[3]Receipt!D40</f>
        <v>577500</v>
      </c>
      <c r="E42" s="237">
        <f>+[3]Receipt!AJ40</f>
        <v>0</v>
      </c>
      <c r="F42" s="237">
        <f>+[3]Issue!AJ40</f>
        <v>135000</v>
      </c>
      <c r="G42" s="237"/>
      <c r="H42" s="237">
        <v>0</v>
      </c>
      <c r="I42" s="237">
        <f>+[3]Issue!AK40</f>
        <v>442500</v>
      </c>
    </row>
    <row r="43" spans="2:9" ht="18" customHeight="1">
      <c r="B43" s="236">
        <v>35</v>
      </c>
      <c r="C43" s="237" t="s">
        <v>117</v>
      </c>
      <c r="D43" s="237">
        <f>+[3]Receipt!D41</f>
        <v>395000</v>
      </c>
      <c r="E43" s="237">
        <f>+[3]Receipt!AJ41</f>
        <v>0</v>
      </c>
      <c r="F43" s="237">
        <f>+[3]Issue!AJ41</f>
        <v>225000</v>
      </c>
      <c r="G43" s="237"/>
      <c r="H43" s="237">
        <v>0</v>
      </c>
      <c r="I43" s="237">
        <f>+[3]Issue!AK41</f>
        <v>170000</v>
      </c>
    </row>
    <row r="44" spans="2:9" ht="18" customHeight="1">
      <c r="B44" s="236">
        <v>36</v>
      </c>
      <c r="C44" s="237" t="s">
        <v>86</v>
      </c>
      <c r="D44" s="237">
        <f>+[3]Receipt!D42</f>
        <v>0</v>
      </c>
      <c r="E44" s="237">
        <f>+[3]Receipt!AJ42</f>
        <v>144000</v>
      </c>
      <c r="F44" s="237">
        <f>+[3]Issue!AJ42</f>
        <v>0</v>
      </c>
      <c r="G44" s="237"/>
      <c r="H44" s="237">
        <v>0</v>
      </c>
      <c r="I44" s="237">
        <f>+[3]Issue!AK42</f>
        <v>144000</v>
      </c>
    </row>
    <row r="45" spans="2:9" ht="18" customHeight="1">
      <c r="B45" s="236">
        <v>37</v>
      </c>
      <c r="C45" s="237" t="s">
        <v>171</v>
      </c>
      <c r="D45" s="237">
        <f>+[3]Receipt!D43</f>
        <v>157500</v>
      </c>
      <c r="E45" s="237">
        <f>+[3]Receipt!AJ43</f>
        <v>0</v>
      </c>
      <c r="F45" s="237">
        <f>+[3]Issue!AJ43</f>
        <v>0</v>
      </c>
      <c r="G45" s="237"/>
      <c r="H45" s="237">
        <v>0</v>
      </c>
      <c r="I45" s="237">
        <f>+[3]Issue!AK43</f>
        <v>157500</v>
      </c>
    </row>
    <row r="46" spans="2:9" ht="18" customHeight="1">
      <c r="B46" s="236">
        <v>38</v>
      </c>
      <c r="C46" s="237" t="s">
        <v>173</v>
      </c>
      <c r="D46" s="237">
        <f>+[3]Receipt!D44</f>
        <v>0</v>
      </c>
      <c r="E46" s="237">
        <f>+[3]Receipt!AJ44</f>
        <v>0</v>
      </c>
      <c r="F46" s="237">
        <f>+[3]Issue!AJ44</f>
        <v>0</v>
      </c>
      <c r="G46" s="237"/>
      <c r="H46" s="237">
        <v>0</v>
      </c>
      <c r="I46" s="237">
        <f>+[3]Issue!AK44</f>
        <v>0</v>
      </c>
    </row>
    <row r="47" spans="2:9" ht="18" customHeight="1">
      <c r="B47" s="236">
        <v>39</v>
      </c>
      <c r="C47" s="237" t="s">
        <v>174</v>
      </c>
      <c r="D47" s="237">
        <f>+[3]Receipt!D45</f>
        <v>70000</v>
      </c>
      <c r="E47" s="237">
        <f>+[3]Receipt!AJ45</f>
        <v>0</v>
      </c>
      <c r="F47" s="237">
        <f>+[3]Issue!AJ45</f>
        <v>0</v>
      </c>
      <c r="G47" s="237"/>
      <c r="H47" s="237">
        <v>0</v>
      </c>
      <c r="I47" s="237">
        <f>+[3]Issue!AK45</f>
        <v>70000</v>
      </c>
    </row>
    <row r="48" spans="2:9" ht="18" customHeight="1">
      <c r="B48" s="236">
        <v>40</v>
      </c>
      <c r="C48" s="237" t="s">
        <v>98</v>
      </c>
      <c r="D48" s="237">
        <f>+[3]Receipt!D46</f>
        <v>73500</v>
      </c>
      <c r="E48" s="237">
        <f>+[3]Receipt!AJ46</f>
        <v>101500</v>
      </c>
      <c r="F48" s="237">
        <f>+[3]Issue!AJ46</f>
        <v>52500</v>
      </c>
      <c r="G48" s="237"/>
      <c r="H48" s="237">
        <v>0</v>
      </c>
      <c r="I48" s="237">
        <f>+[3]Issue!AK46</f>
        <v>122500</v>
      </c>
    </row>
    <row r="49" spans="2:9" ht="18" customHeight="1">
      <c r="B49" s="236">
        <v>41</v>
      </c>
      <c r="C49" s="237" t="s">
        <v>177</v>
      </c>
      <c r="D49" s="237">
        <f>+[3]Receipt!D47</f>
        <v>60000</v>
      </c>
      <c r="E49" s="237">
        <f>+[3]Receipt!AJ47</f>
        <v>0</v>
      </c>
      <c r="F49" s="237">
        <f>+[3]Issue!AJ47</f>
        <v>0</v>
      </c>
      <c r="G49" s="237"/>
      <c r="H49" s="237">
        <v>0</v>
      </c>
      <c r="I49" s="237">
        <f>+[3]Issue!AK47</f>
        <v>60000</v>
      </c>
    </row>
    <row r="50" spans="2:9" ht="18" customHeight="1">
      <c r="B50" s="236">
        <v>42</v>
      </c>
      <c r="C50" s="237" t="s">
        <v>95</v>
      </c>
      <c r="D50" s="237">
        <f>+[3]Receipt!D48</f>
        <v>102000</v>
      </c>
      <c r="E50" s="237">
        <f>+[3]Receipt!AJ48</f>
        <v>276000</v>
      </c>
      <c r="F50" s="237">
        <f>+[3]Issue!AJ48</f>
        <v>0</v>
      </c>
      <c r="G50" s="237"/>
      <c r="H50" s="237">
        <v>0</v>
      </c>
      <c r="I50" s="237">
        <f>+[3]Issue!AK48</f>
        <v>378000</v>
      </c>
    </row>
    <row r="51" spans="2:9" ht="18" customHeight="1">
      <c r="B51" s="236">
        <v>43</v>
      </c>
      <c r="C51" s="237" t="s">
        <v>96</v>
      </c>
      <c r="D51" s="237">
        <f>+[3]Receipt!D49</f>
        <v>60000</v>
      </c>
      <c r="E51" s="237">
        <f>+[3]Receipt!AJ49</f>
        <v>200000</v>
      </c>
      <c r="F51" s="237">
        <f>+[3]Issue!AJ49</f>
        <v>0</v>
      </c>
      <c r="G51" s="237"/>
      <c r="H51" s="237">
        <v>0</v>
      </c>
      <c r="I51" s="237">
        <f>+[3]Issue!AK49</f>
        <v>260000</v>
      </c>
    </row>
    <row r="52" spans="2:9" ht="18" customHeight="1">
      <c r="B52" s="236">
        <v>44</v>
      </c>
      <c r="C52" s="237" t="s">
        <v>179</v>
      </c>
      <c r="D52" s="237">
        <f>+[3]Receipt!D50</f>
        <v>0</v>
      </c>
      <c r="E52" s="237">
        <f>+[3]Receipt!AJ50</f>
        <v>0</v>
      </c>
      <c r="F52" s="237">
        <f>+[3]Issue!AJ50</f>
        <v>0</v>
      </c>
      <c r="G52" s="237"/>
      <c r="H52" s="237">
        <v>0</v>
      </c>
      <c r="I52" s="237">
        <f>+[3]Issue!AK50</f>
        <v>0</v>
      </c>
    </row>
    <row r="53" spans="2:9" ht="18" customHeight="1">
      <c r="B53" s="236">
        <v>45</v>
      </c>
      <c r="C53" s="237" t="s">
        <v>180</v>
      </c>
      <c r="D53" s="237">
        <f>+[3]Receipt!D51</f>
        <v>10080</v>
      </c>
      <c r="E53" s="237">
        <f>+[3]Receipt!AJ51</f>
        <v>0</v>
      </c>
      <c r="F53" s="237">
        <f>+[3]Issue!AJ51</f>
        <v>0</v>
      </c>
      <c r="G53" s="237"/>
      <c r="H53" s="237">
        <v>0</v>
      </c>
      <c r="I53" s="237">
        <f>+[3]Issue!AK51</f>
        <v>10080</v>
      </c>
    </row>
    <row r="54" spans="2:9" ht="18" customHeight="1">
      <c r="B54" s="236">
        <v>46</v>
      </c>
      <c r="C54" s="237" t="s">
        <v>181</v>
      </c>
      <c r="D54" s="237">
        <f>+[3]Receipt!D52</f>
        <v>7680</v>
      </c>
      <c r="E54" s="237">
        <f>+[3]Receipt!AJ52</f>
        <v>0</v>
      </c>
      <c r="F54" s="237">
        <f>+[3]Issue!AJ52</f>
        <v>0</v>
      </c>
      <c r="G54" s="237"/>
      <c r="H54" s="237">
        <v>0</v>
      </c>
      <c r="I54" s="237">
        <f>+[3]Issue!AK52</f>
        <v>7680</v>
      </c>
    </row>
    <row r="55" spans="2:9" ht="18" customHeight="1">
      <c r="B55" s="236">
        <v>47</v>
      </c>
      <c r="C55" s="237" t="s">
        <v>183</v>
      </c>
      <c r="D55" s="237">
        <f>+[3]Receipt!D53</f>
        <v>2752</v>
      </c>
      <c r="E55" s="237">
        <f>+[3]Receipt!AJ53</f>
        <v>0</v>
      </c>
      <c r="F55" s="237">
        <f>+[3]Issue!AJ53</f>
        <v>0</v>
      </c>
      <c r="G55" s="237"/>
      <c r="H55" s="237">
        <v>0</v>
      </c>
      <c r="I55" s="237">
        <f>+[3]Issue!AK53</f>
        <v>2752</v>
      </c>
    </row>
    <row r="56" spans="2:9" ht="18" customHeight="1">
      <c r="B56" s="236">
        <v>48</v>
      </c>
      <c r="C56" s="237" t="s">
        <v>185</v>
      </c>
      <c r="D56" s="237">
        <f>+[3]Receipt!D54</f>
        <v>3360</v>
      </c>
      <c r="E56" s="237">
        <f>+[3]Receipt!AJ54</f>
        <v>0</v>
      </c>
      <c r="F56" s="237">
        <f>+[3]Issue!AJ54</f>
        <v>0</v>
      </c>
      <c r="G56" s="237"/>
      <c r="H56" s="237">
        <v>0</v>
      </c>
      <c r="I56" s="237">
        <f>+[3]Issue!AK54</f>
        <v>3360</v>
      </c>
    </row>
    <row r="57" spans="2:9" ht="18" customHeight="1">
      <c r="B57" s="236">
        <v>50</v>
      </c>
      <c r="C57" s="237" t="s">
        <v>187</v>
      </c>
      <c r="D57" s="237">
        <f>+[3]Receipt!D55</f>
        <v>6300</v>
      </c>
      <c r="E57" s="237">
        <f>+[3]Receipt!AJ55</f>
        <v>0</v>
      </c>
      <c r="F57" s="237">
        <f>+[3]Issue!AJ55</f>
        <v>0</v>
      </c>
      <c r="G57" s="237"/>
      <c r="H57" s="237">
        <v>0</v>
      </c>
      <c r="I57" s="237">
        <f>+[3]Issue!AK55</f>
        <v>6300</v>
      </c>
    </row>
    <row r="58" spans="2:9" ht="18" customHeight="1">
      <c r="B58" s="236">
        <v>52</v>
      </c>
      <c r="C58" s="237" t="s">
        <v>189</v>
      </c>
      <c r="D58" s="237">
        <f>+[3]Receipt!D56</f>
        <v>29120</v>
      </c>
      <c r="E58" s="237">
        <f>+[3]Receipt!AJ56</f>
        <v>0</v>
      </c>
      <c r="F58" s="237">
        <f>+[3]Issue!AJ56</f>
        <v>0</v>
      </c>
      <c r="G58" s="237"/>
      <c r="H58" s="237">
        <v>0</v>
      </c>
      <c r="I58" s="237">
        <f>+[3]Issue!AK56</f>
        <v>29120</v>
      </c>
    </row>
    <row r="59" spans="2:9" ht="18" customHeight="1">
      <c r="B59" s="236">
        <v>53</v>
      </c>
      <c r="C59" s="237" t="s">
        <v>191</v>
      </c>
      <c r="D59" s="237">
        <f>+[3]Receipt!D57</f>
        <v>23520</v>
      </c>
      <c r="E59" s="237">
        <f>+[3]Receipt!AJ57</f>
        <v>0</v>
      </c>
      <c r="F59" s="237">
        <f>+[3]Issue!AJ57</f>
        <v>0</v>
      </c>
      <c r="G59" s="237"/>
      <c r="H59" s="237">
        <v>0</v>
      </c>
      <c r="I59" s="237">
        <f>+[3]Issue!AK57</f>
        <v>23520</v>
      </c>
    </row>
    <row r="60" spans="2:9" ht="18" customHeight="1">
      <c r="B60" s="236">
        <v>56</v>
      </c>
      <c r="C60" s="237" t="s">
        <v>193</v>
      </c>
      <c r="D60" s="237">
        <f>+[3]Receipt!D58</f>
        <v>2600</v>
      </c>
      <c r="E60" s="237">
        <f>+[3]Receipt!AJ58</f>
        <v>0</v>
      </c>
      <c r="F60" s="237">
        <f>+[3]Issue!AJ58</f>
        <v>0</v>
      </c>
      <c r="G60" s="237"/>
      <c r="H60" s="237">
        <v>0</v>
      </c>
      <c r="I60" s="237">
        <f>+[3]Issue!AK58</f>
        <v>2600</v>
      </c>
    </row>
    <row r="61" spans="2:9" ht="18" customHeight="1">
      <c r="B61" s="236">
        <v>57</v>
      </c>
      <c r="C61" s="237" t="s">
        <v>195</v>
      </c>
      <c r="D61" s="237">
        <f>+[3]Receipt!D59</f>
        <v>6300</v>
      </c>
      <c r="E61" s="237">
        <f>+[3]Receipt!AJ59</f>
        <v>0</v>
      </c>
      <c r="F61" s="237">
        <f>+[3]Issue!AJ59</f>
        <v>0</v>
      </c>
      <c r="G61" s="237"/>
      <c r="H61" s="237">
        <v>0</v>
      </c>
      <c r="I61" s="237">
        <f>+[3]Issue!AK59</f>
        <v>6300</v>
      </c>
    </row>
    <row r="62" spans="2:9" ht="18" customHeight="1">
      <c r="B62" s="236">
        <v>59</v>
      </c>
      <c r="C62" s="237" t="s">
        <v>57</v>
      </c>
      <c r="D62" s="237">
        <f>+[3]Receipt!D60</f>
        <v>7020</v>
      </c>
      <c r="E62" s="237">
        <f>+[3]Receipt!AJ60</f>
        <v>0</v>
      </c>
      <c r="F62" s="237">
        <f>+[3]Issue!AJ60</f>
        <v>0</v>
      </c>
      <c r="G62" s="237"/>
      <c r="H62" s="237">
        <v>0</v>
      </c>
      <c r="I62" s="237">
        <f>+[3]Issue!AK60</f>
        <v>7020</v>
      </c>
    </row>
    <row r="63" spans="2:9" ht="18" customHeight="1">
      <c r="B63" s="236"/>
      <c r="C63" s="237"/>
      <c r="D63" s="237"/>
      <c r="E63" s="237"/>
      <c r="F63" s="237"/>
      <c r="G63" s="237"/>
      <c r="H63" s="237"/>
      <c r="I63" s="237"/>
    </row>
    <row r="64" spans="2:9" ht="33.75" customHeight="1">
      <c r="B64" s="260" t="s">
        <v>11</v>
      </c>
      <c r="C64" s="261"/>
      <c r="D64" s="240">
        <f t="shared" ref="D64:I64" si="0">SUM(D6:D63)</f>
        <v>4879904</v>
      </c>
      <c r="E64" s="240">
        <f t="shared" si="0"/>
        <v>4020186</v>
      </c>
      <c r="F64" s="240">
        <f t="shared" si="0"/>
        <v>1535280</v>
      </c>
      <c r="G64" s="240">
        <f t="shared" si="0"/>
        <v>0</v>
      </c>
      <c r="H64" s="240">
        <f t="shared" si="0"/>
        <v>0</v>
      </c>
      <c r="I64" s="240">
        <f t="shared" si="0"/>
        <v>7364810</v>
      </c>
    </row>
    <row r="66" spans="2:4">
      <c r="B66" s="254" t="s">
        <v>211</v>
      </c>
      <c r="C66" s="254"/>
      <c r="D66" s="241" t="str">
        <f>IF(D64+E64-F64-G64+H64=I64,"STOCK OK", " STOCK NOT MATCHING" )</f>
        <v>STOCK OK</v>
      </c>
    </row>
  </sheetData>
  <mergeCells count="6">
    <mergeCell ref="B66:C66"/>
    <mergeCell ref="B3:I3"/>
    <mergeCell ref="D6:F6"/>
    <mergeCell ref="D27:F27"/>
    <mergeCell ref="D33:F33"/>
    <mergeCell ref="B64:C64"/>
  </mergeCells>
  <conditionalFormatting sqref="I28:I32 I34:I62 I7:I26">
    <cfRule type="cellIs" dxfId="2301" priority="13" operator="equal">
      <formula>0</formula>
    </cfRule>
    <cfRule type="cellIs" dxfId="2300" priority="14" operator="lessThan">
      <formula>0</formula>
    </cfRule>
    <cfRule type="cellIs" dxfId="2299" priority="15" operator="greaterThan">
      <formula>0</formula>
    </cfRule>
  </conditionalFormatting>
  <conditionalFormatting sqref="I28:I32 I34:I62 I7:I26">
    <cfRule type="cellIs" dxfId="2298" priority="10" operator="equal">
      <formula>0</formula>
    </cfRule>
    <cfRule type="cellIs" dxfId="2297" priority="11" operator="lessThan">
      <formula>0</formula>
    </cfRule>
    <cfRule type="cellIs" dxfId="2296" priority="12" operator="greaterThan">
      <formula>0</formula>
    </cfRule>
  </conditionalFormatting>
  <conditionalFormatting sqref="I28:I32 I34:I62 I7:I26">
    <cfRule type="cellIs" dxfId="2295" priority="7" operator="equal">
      <formula>0</formula>
    </cfRule>
    <cfRule type="cellIs" dxfId="2294" priority="8" operator="lessThan">
      <formula>0</formula>
    </cfRule>
    <cfRule type="cellIs" dxfId="2293" priority="9" operator="greaterThan">
      <formula>0</formula>
    </cfRule>
  </conditionalFormatting>
  <conditionalFormatting sqref="I28:I32 I34:I62 I7:I26">
    <cfRule type="cellIs" dxfId="2292" priority="4" operator="equal">
      <formula>0</formula>
    </cfRule>
    <cfRule type="cellIs" dxfId="2291" priority="5" operator="lessThan">
      <formula>0</formula>
    </cfRule>
    <cfRule type="cellIs" dxfId="2290" priority="6" operator="greaterThan">
      <formula>0</formula>
    </cfRule>
  </conditionalFormatting>
  <conditionalFormatting sqref="I28:I32 I34:I62 I7:I26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V193"/>
  <sheetViews>
    <sheetView topLeftCell="A79" zoomScale="85" zoomScaleNormal="85" workbookViewId="0">
      <selection activeCell="A79" sqref="A1:XFD1048576"/>
    </sheetView>
  </sheetViews>
  <sheetFormatPr defaultColWidth="9.140625" defaultRowHeight="16.5" customHeight="1"/>
  <cols>
    <col min="1" max="1" width="9.140625" style="140"/>
    <col min="2" max="2" width="19.7109375" style="140" customWidth="1"/>
    <col min="3" max="3" width="15.42578125" style="141" customWidth="1"/>
    <col min="4" max="4" width="16.85546875" style="140" customWidth="1"/>
    <col min="5" max="5" width="11.85546875" style="140" customWidth="1"/>
    <col min="6" max="6" width="26.7109375" style="144" bestFit="1" customWidth="1"/>
    <col min="7" max="7" width="16.140625" style="140" customWidth="1"/>
    <col min="8" max="8" width="26.28515625" style="145" customWidth="1"/>
    <col min="9" max="9" width="20.140625" style="140" customWidth="1"/>
    <col min="10" max="10" width="7.140625" style="140" bestFit="1" customWidth="1"/>
    <col min="11" max="11" width="19" style="140" customWidth="1"/>
    <col min="12" max="12" width="15.42578125" style="142" bestFit="1" customWidth="1"/>
    <col min="13" max="13" width="13.7109375" style="142" bestFit="1" customWidth="1"/>
    <col min="14" max="14" width="35.28515625" style="143" customWidth="1"/>
    <col min="15" max="16384" width="9.140625" style="140"/>
  </cols>
  <sheetData>
    <row r="1" spans="1:14" ht="16.5" customHeight="1">
      <c r="F1" s="149" t="s">
        <v>123</v>
      </c>
      <c r="G1" s="150">
        <f>G8+G11+G15+G18+G23+G28+G32+G36+G39+G44+G47+G51+G54+G57+G61+G65+G68+G71+G74+G77+G82+G86+G89+G92+G95+G100+G103+G106+G110+G114+G117+G121+G125+G128+G131+G134+G137+G140+G144+G148+G152+G156+G160+G163+G166+G169+G172+G175+G178+G181+G184+G187+G190+G193</f>
        <v>1707</v>
      </c>
      <c r="H1" s="151"/>
    </row>
    <row r="2" spans="1:14" ht="16.5" customHeight="1">
      <c r="B2" s="265" t="s">
        <v>124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7"/>
    </row>
    <row r="3" spans="1:14" ht="16.5" customHeight="1">
      <c r="B3" s="152"/>
      <c r="C3" s="153"/>
      <c r="D3" s="152"/>
      <c r="E3" s="152"/>
      <c r="F3" s="154"/>
      <c r="G3" s="152"/>
      <c r="H3" s="155"/>
      <c r="I3" s="152"/>
      <c r="J3" s="152"/>
      <c r="K3" s="152"/>
      <c r="L3" s="156">
        <f ca="1">+NOW()</f>
        <v>46270.550292708336</v>
      </c>
      <c r="M3" s="156">
        <f ca="1">+NOW()</f>
        <v>46270.550292708336</v>
      </c>
      <c r="N3" s="147"/>
    </row>
    <row r="4" spans="1:14" ht="16.5" customHeight="1" thickBot="1">
      <c r="B4" s="157" t="s">
        <v>43</v>
      </c>
      <c r="C4" s="158" t="s">
        <v>1</v>
      </c>
      <c r="D4" s="157" t="s">
        <v>6</v>
      </c>
      <c r="E4" s="159" t="s">
        <v>125</v>
      </c>
      <c r="F4" s="159" t="s">
        <v>32</v>
      </c>
      <c r="G4" s="159" t="s">
        <v>44</v>
      </c>
      <c r="H4" s="160" t="s">
        <v>26</v>
      </c>
      <c r="I4" s="157" t="s">
        <v>45</v>
      </c>
      <c r="J4" s="161" t="s">
        <v>23</v>
      </c>
      <c r="K4" s="161" t="s">
        <v>17</v>
      </c>
      <c r="L4" s="157" t="s">
        <v>33</v>
      </c>
      <c r="M4" s="162" t="s">
        <v>126</v>
      </c>
      <c r="N4" s="163" t="s">
        <v>127</v>
      </c>
    </row>
    <row r="5" spans="1:14" ht="16.5" customHeight="1" thickBot="1">
      <c r="B5" s="164"/>
      <c r="C5" s="165"/>
      <c r="D5" s="166"/>
      <c r="E5" s="167" t="s">
        <v>46</v>
      </c>
      <c r="F5" s="168"/>
      <c r="G5" s="169"/>
      <c r="H5" s="165"/>
      <c r="I5" s="165"/>
      <c r="J5" s="165"/>
      <c r="K5" s="165"/>
      <c r="L5" s="166"/>
      <c r="M5" s="166"/>
      <c r="N5" s="165"/>
    </row>
    <row r="6" spans="1:14" ht="16.5" customHeight="1">
      <c r="A6" s="170"/>
      <c r="B6" s="171"/>
      <c r="C6" s="172"/>
      <c r="D6" s="172"/>
      <c r="E6" s="171"/>
      <c r="F6" s="147" t="s">
        <v>128</v>
      </c>
      <c r="G6" s="173"/>
      <c r="H6" s="174" t="s">
        <v>47</v>
      </c>
      <c r="I6" s="171"/>
      <c r="J6" s="148"/>
      <c r="K6" s="175">
        <f>+I6*J6</f>
        <v>0</v>
      </c>
      <c r="L6" s="176">
        <f ca="1">$L$3-C6</f>
        <v>46270.550292708336</v>
      </c>
      <c r="M6" s="176">
        <f ca="1">$L$3-D6</f>
        <v>46270.550292708336</v>
      </c>
      <c r="N6" s="177"/>
    </row>
    <row r="7" spans="1:14" ht="16.5" customHeight="1">
      <c r="A7" s="170"/>
      <c r="B7" s="152"/>
      <c r="C7" s="153"/>
      <c r="D7" s="153"/>
      <c r="E7" s="152"/>
      <c r="F7" s="152"/>
      <c r="G7" s="178"/>
      <c r="H7" s="155"/>
      <c r="I7" s="178"/>
      <c r="J7" s="178"/>
      <c r="K7" s="179"/>
      <c r="L7" s="180"/>
      <c r="M7" s="180"/>
      <c r="N7" s="177"/>
    </row>
    <row r="8" spans="1:14" s="187" customFormat="1" ht="16.5" customHeight="1">
      <c r="A8" s="181"/>
      <c r="B8" s="262" t="s">
        <v>11</v>
      </c>
      <c r="C8" s="263"/>
      <c r="D8" s="263"/>
      <c r="E8" s="263"/>
      <c r="F8" s="264"/>
      <c r="G8" s="182">
        <f>SUM(G6:G7)</f>
        <v>0</v>
      </c>
      <c r="H8" s="183" t="s">
        <v>128</v>
      </c>
      <c r="I8" s="182">
        <f>SUM(I6:I7)</f>
        <v>0</v>
      </c>
      <c r="J8" s="182"/>
      <c r="K8" s="184">
        <f>SUM(K6:K7)</f>
        <v>0</v>
      </c>
      <c r="L8" s="185"/>
      <c r="M8" s="185"/>
      <c r="N8" s="186"/>
    </row>
    <row r="9" spans="1:14" ht="16.5" customHeight="1">
      <c r="A9" s="170"/>
      <c r="B9" s="188"/>
      <c r="C9" s="189"/>
      <c r="D9" s="189"/>
      <c r="E9" s="188"/>
      <c r="F9" s="190" t="s">
        <v>129</v>
      </c>
      <c r="G9" s="191"/>
      <c r="H9" s="192" t="s">
        <v>130</v>
      </c>
      <c r="I9" s="188"/>
      <c r="J9" s="148"/>
      <c r="K9" s="175">
        <f>+I9*J9</f>
        <v>0</v>
      </c>
      <c r="L9" s="193">
        <f ca="1">$L$3-C9</f>
        <v>46270.550292708336</v>
      </c>
      <c r="M9" s="193">
        <f ca="1">$L$3-D9</f>
        <v>46270.550292708336</v>
      </c>
      <c r="N9" s="194"/>
    </row>
    <row r="10" spans="1:14" ht="16.5" customHeight="1">
      <c r="A10" s="170"/>
      <c r="B10" s="152"/>
      <c r="C10" s="153"/>
      <c r="D10" s="153"/>
      <c r="E10" s="152"/>
      <c r="F10" s="152"/>
      <c r="G10" s="178"/>
      <c r="H10" s="155"/>
      <c r="I10" s="178"/>
      <c r="J10" s="178"/>
      <c r="K10" s="179"/>
      <c r="L10" s="179"/>
      <c r="M10" s="179"/>
      <c r="N10" s="177"/>
    </row>
    <row r="11" spans="1:14" s="187" customFormat="1" ht="16.5" customHeight="1">
      <c r="A11" s="181"/>
      <c r="B11" s="262" t="s">
        <v>11</v>
      </c>
      <c r="C11" s="263"/>
      <c r="D11" s="263"/>
      <c r="E11" s="263"/>
      <c r="F11" s="264"/>
      <c r="G11" s="182">
        <f>SUM(G9:G10)</f>
        <v>0</v>
      </c>
      <c r="H11" s="183" t="s">
        <v>129</v>
      </c>
      <c r="I11" s="182">
        <f>SUM(I9:I10)</f>
        <v>0</v>
      </c>
      <c r="J11" s="182"/>
      <c r="K11" s="184">
        <f>SUM(K9:K10)</f>
        <v>0</v>
      </c>
      <c r="L11" s="185"/>
      <c r="M11" s="185"/>
      <c r="N11" s="186"/>
    </row>
    <row r="12" spans="1:14" ht="16.5" customHeight="1">
      <c r="A12" s="170"/>
      <c r="B12" s="195">
        <v>1622</v>
      </c>
      <c r="C12" s="196">
        <v>46228</v>
      </c>
      <c r="D12" s="196">
        <v>46232</v>
      </c>
      <c r="E12" s="195">
        <v>47</v>
      </c>
      <c r="F12" s="197" t="s">
        <v>115</v>
      </c>
      <c r="G12" s="198">
        <f>48-9-6-6-6-3-3</f>
        <v>15</v>
      </c>
      <c r="H12" s="199" t="s">
        <v>131</v>
      </c>
      <c r="I12" s="195">
        <f>266240-49920-33280-33280-33280-16640-16640</f>
        <v>83200</v>
      </c>
      <c r="J12" s="200">
        <v>1.24</v>
      </c>
      <c r="K12" s="175">
        <f>+I12*J12</f>
        <v>103168</v>
      </c>
      <c r="L12" s="193">
        <f ca="1">$L$3-C12</f>
        <v>42.550292708336201</v>
      </c>
      <c r="M12" s="193">
        <f ca="1">$L$3-D12</f>
        <v>38.550292708336201</v>
      </c>
      <c r="N12" s="177"/>
    </row>
    <row r="13" spans="1:14" ht="16.5" customHeight="1">
      <c r="A13" s="201"/>
      <c r="B13" s="195">
        <v>1841</v>
      </c>
      <c r="C13" s="196">
        <v>46242</v>
      </c>
      <c r="D13" s="196">
        <v>46246</v>
      </c>
      <c r="E13" s="195">
        <v>49</v>
      </c>
      <c r="F13" s="197" t="s">
        <v>115</v>
      </c>
      <c r="G13" s="198">
        <v>21</v>
      </c>
      <c r="H13" s="199" t="s">
        <v>131</v>
      </c>
      <c r="I13" s="195">
        <v>116480</v>
      </c>
      <c r="J13" s="200">
        <v>1.24</v>
      </c>
      <c r="K13" s="175">
        <f>+I13*J13</f>
        <v>144435.20000000001</v>
      </c>
      <c r="L13" s="193">
        <f ca="1">$L$3-C13</f>
        <v>28.550292708336201</v>
      </c>
      <c r="M13" s="193">
        <f ca="1">$L$3-D13</f>
        <v>24.550292708336201</v>
      </c>
      <c r="N13" s="177"/>
    </row>
    <row r="14" spans="1:14" ht="16.5" customHeight="1">
      <c r="A14" s="170"/>
      <c r="B14" s="152"/>
      <c r="C14" s="153"/>
      <c r="D14" s="153"/>
      <c r="E14" s="152"/>
      <c r="F14" s="152"/>
      <c r="G14" s="178"/>
      <c r="H14" s="155"/>
      <c r="I14" s="178"/>
      <c r="J14" s="178"/>
      <c r="K14" s="179"/>
      <c r="L14" s="179"/>
      <c r="M14" s="179"/>
      <c r="N14" s="177"/>
    </row>
    <row r="15" spans="1:14" s="187" customFormat="1" ht="16.5" customHeight="1">
      <c r="A15" s="181"/>
      <c r="B15" s="262" t="s">
        <v>11</v>
      </c>
      <c r="C15" s="263"/>
      <c r="D15" s="263"/>
      <c r="E15" s="263"/>
      <c r="F15" s="264"/>
      <c r="G15" s="182">
        <f>SUM(G12:G14)</f>
        <v>36</v>
      </c>
      <c r="H15" s="183" t="s">
        <v>115</v>
      </c>
      <c r="I15" s="182">
        <f>SUM(I12:I14)</f>
        <v>199680</v>
      </c>
      <c r="J15" s="182"/>
      <c r="K15" s="184">
        <f>SUM(K12:K14)</f>
        <v>247603.20000000001</v>
      </c>
      <c r="L15" s="185"/>
      <c r="M15" s="185"/>
      <c r="N15" s="186"/>
    </row>
    <row r="16" spans="1:14" ht="16.5" customHeight="1">
      <c r="A16" s="201"/>
      <c r="B16" s="195">
        <v>2035</v>
      </c>
      <c r="C16" s="196">
        <v>46261</v>
      </c>
      <c r="D16" s="196">
        <v>46266</v>
      </c>
      <c r="E16" s="195">
        <v>55</v>
      </c>
      <c r="F16" s="197" t="s">
        <v>78</v>
      </c>
      <c r="G16" s="198">
        <f>I16/12600*3</f>
        <v>60</v>
      </c>
      <c r="H16" s="199" t="s">
        <v>79</v>
      </c>
      <c r="I16" s="195">
        <v>252000</v>
      </c>
      <c r="J16" s="200">
        <v>1.3</v>
      </c>
      <c r="K16" s="179">
        <f>+I16*J16</f>
        <v>327600</v>
      </c>
      <c r="L16" s="176">
        <f t="shared" ref="L16:M16" ca="1" si="0">$L$3-C16</f>
        <v>9.550292708336201</v>
      </c>
      <c r="M16" s="176">
        <f t="shared" ca="1" si="0"/>
        <v>4.550292708336201</v>
      </c>
      <c r="N16" s="177"/>
    </row>
    <row r="17" spans="1:14" ht="16.5" customHeight="1">
      <c r="A17" s="170"/>
      <c r="B17" s="152"/>
      <c r="C17" s="153"/>
      <c r="D17" s="153"/>
      <c r="E17" s="153"/>
      <c r="F17" s="152"/>
      <c r="G17" s="178"/>
      <c r="H17" s="155"/>
      <c r="I17" s="178"/>
      <c r="J17" s="178"/>
      <c r="K17" s="178"/>
      <c r="L17" s="178"/>
      <c r="M17" s="178"/>
      <c r="N17" s="147"/>
    </row>
    <row r="18" spans="1:14" s="187" customFormat="1" ht="16.5" customHeight="1">
      <c r="A18" s="181"/>
      <c r="B18" s="262" t="s">
        <v>11</v>
      </c>
      <c r="C18" s="263"/>
      <c r="D18" s="263"/>
      <c r="E18" s="263"/>
      <c r="F18" s="264"/>
      <c r="G18" s="182">
        <f>SUM(G16:G17)</f>
        <v>60</v>
      </c>
      <c r="H18" s="183" t="s">
        <v>78</v>
      </c>
      <c r="I18" s="182">
        <f>SUM(I16:I17)</f>
        <v>252000</v>
      </c>
      <c r="J18" s="182"/>
      <c r="K18" s="184">
        <f>SUM(K16:K17)</f>
        <v>327600</v>
      </c>
      <c r="L18" s="185"/>
      <c r="M18" s="185"/>
      <c r="N18" s="186"/>
    </row>
    <row r="19" spans="1:14" ht="16.5" customHeight="1">
      <c r="A19" s="170"/>
      <c r="B19" s="171">
        <v>905</v>
      </c>
      <c r="C19" s="172">
        <v>46176</v>
      </c>
      <c r="D19" s="172">
        <v>46181</v>
      </c>
      <c r="E19" s="171">
        <v>22</v>
      </c>
      <c r="F19" s="147" t="s">
        <v>132</v>
      </c>
      <c r="G19" s="173">
        <f>45-12-18</f>
        <v>15</v>
      </c>
      <c r="H19" s="174" t="s">
        <v>133</v>
      </c>
      <c r="I19" s="171">
        <f>129600-34560-51840</f>
        <v>43200</v>
      </c>
      <c r="J19" s="148">
        <v>1.67</v>
      </c>
      <c r="K19" s="179">
        <f>+I19*J19</f>
        <v>72144</v>
      </c>
      <c r="L19" s="176">
        <f t="shared" ref="L19:M21" ca="1" si="1">$L$3-C19</f>
        <v>94.550292708336201</v>
      </c>
      <c r="M19" s="176">
        <f t="shared" ca="1" si="1"/>
        <v>89.550292708336201</v>
      </c>
      <c r="N19" s="177"/>
    </row>
    <row r="20" spans="1:14" ht="16.5" customHeight="1">
      <c r="A20" s="170"/>
      <c r="B20" s="195">
        <v>1498</v>
      </c>
      <c r="C20" s="196">
        <v>46220</v>
      </c>
      <c r="D20" s="196">
        <v>46223</v>
      </c>
      <c r="E20" s="195">
        <v>43</v>
      </c>
      <c r="F20" s="197" t="s">
        <v>132</v>
      </c>
      <c r="G20" s="198">
        <v>18</v>
      </c>
      <c r="H20" s="199" t="s">
        <v>133</v>
      </c>
      <c r="I20" s="195">
        <f>6*8640</f>
        <v>51840</v>
      </c>
      <c r="J20" s="200">
        <v>1.67</v>
      </c>
      <c r="K20" s="179">
        <f>+I20*J20</f>
        <v>86572.800000000003</v>
      </c>
      <c r="L20" s="176">
        <f t="shared" ca="1" si="1"/>
        <v>50.550292708336201</v>
      </c>
      <c r="M20" s="176">
        <f t="shared" ca="1" si="1"/>
        <v>47.550292708336201</v>
      </c>
      <c r="N20" s="177"/>
    </row>
    <row r="21" spans="1:14" ht="16.5" customHeight="1">
      <c r="A21" s="170"/>
      <c r="B21" s="195">
        <v>1622</v>
      </c>
      <c r="C21" s="196">
        <v>46228</v>
      </c>
      <c r="D21" s="196">
        <v>46232</v>
      </c>
      <c r="E21" s="195">
        <v>47</v>
      </c>
      <c r="F21" s="197" t="s">
        <v>132</v>
      </c>
      <c r="G21" s="198">
        <v>108</v>
      </c>
      <c r="H21" s="199" t="s">
        <v>133</v>
      </c>
      <c r="I21" s="195">
        <v>311040</v>
      </c>
      <c r="J21" s="200">
        <v>1.67</v>
      </c>
      <c r="K21" s="179">
        <f>+I21*J21</f>
        <v>519436.79999999999</v>
      </c>
      <c r="L21" s="176">
        <f t="shared" ca="1" si="1"/>
        <v>42.550292708336201</v>
      </c>
      <c r="M21" s="176">
        <f t="shared" ca="1" si="1"/>
        <v>38.550292708336201</v>
      </c>
      <c r="N21" s="177"/>
    </row>
    <row r="22" spans="1:14" ht="16.5" customHeight="1">
      <c r="A22" s="170"/>
      <c r="B22" s="152"/>
      <c r="C22" s="153"/>
      <c r="D22" s="153"/>
      <c r="E22" s="153"/>
      <c r="F22" s="152"/>
      <c r="G22" s="178"/>
      <c r="H22" s="155"/>
      <c r="I22" s="178"/>
      <c r="J22" s="178"/>
      <c r="K22" s="178"/>
      <c r="L22" s="178"/>
      <c r="M22" s="178"/>
      <c r="N22" s="147"/>
    </row>
    <row r="23" spans="1:14" s="187" customFormat="1" ht="16.5" customHeight="1">
      <c r="A23" s="181"/>
      <c r="B23" s="262" t="s">
        <v>11</v>
      </c>
      <c r="C23" s="263"/>
      <c r="D23" s="263"/>
      <c r="E23" s="263"/>
      <c r="F23" s="264"/>
      <c r="G23" s="182">
        <f>SUM(G19:G22)</f>
        <v>141</v>
      </c>
      <c r="H23" s="183" t="s">
        <v>132</v>
      </c>
      <c r="I23" s="182">
        <f>SUM(I19:I22)</f>
        <v>406080</v>
      </c>
      <c r="J23" s="182"/>
      <c r="K23" s="184">
        <f>SUM(K19:K22)</f>
        <v>678153.6</v>
      </c>
      <c r="L23" s="185"/>
      <c r="M23" s="185"/>
      <c r="N23" s="186"/>
    </row>
    <row r="24" spans="1:14" ht="16.5" customHeight="1">
      <c r="A24" s="170"/>
      <c r="B24" s="171">
        <v>1334</v>
      </c>
      <c r="C24" s="172">
        <v>46207</v>
      </c>
      <c r="D24" s="172">
        <v>46210</v>
      </c>
      <c r="E24" s="171">
        <v>39</v>
      </c>
      <c r="F24" s="147" t="s">
        <v>134</v>
      </c>
      <c r="G24" s="173">
        <v>6</v>
      </c>
      <c r="H24" s="174" t="s">
        <v>135</v>
      </c>
      <c r="I24" s="171">
        <v>11340</v>
      </c>
      <c r="J24" s="148">
        <v>2.25</v>
      </c>
      <c r="K24" s="179">
        <f>+I24*J24</f>
        <v>25515</v>
      </c>
      <c r="L24" s="176">
        <f t="shared" ref="L24:M26" ca="1" si="2">$L$3-C24</f>
        <v>63.550292708336201</v>
      </c>
      <c r="M24" s="176">
        <f t="shared" ca="1" si="2"/>
        <v>60.550292708336201</v>
      </c>
      <c r="N24" s="177"/>
    </row>
    <row r="25" spans="1:14" ht="16.5" customHeight="1">
      <c r="A25" s="170"/>
      <c r="B25" s="195">
        <v>1498</v>
      </c>
      <c r="C25" s="196">
        <v>46220</v>
      </c>
      <c r="D25" s="196">
        <v>46223</v>
      </c>
      <c r="E25" s="195">
        <v>43</v>
      </c>
      <c r="F25" s="197" t="s">
        <v>134</v>
      </c>
      <c r="G25" s="198">
        <v>18</v>
      </c>
      <c r="H25" s="199" t="s">
        <v>135</v>
      </c>
      <c r="I25" s="195">
        <f>6*5670</f>
        <v>34020</v>
      </c>
      <c r="J25" s="200">
        <v>2.25</v>
      </c>
      <c r="K25" s="179">
        <f>+I25*J25</f>
        <v>76545</v>
      </c>
      <c r="L25" s="176">
        <f t="shared" ca="1" si="2"/>
        <v>50.550292708336201</v>
      </c>
      <c r="M25" s="176">
        <f t="shared" ca="1" si="2"/>
        <v>47.550292708336201</v>
      </c>
      <c r="N25" s="177"/>
    </row>
    <row r="26" spans="1:14" ht="16.5" customHeight="1">
      <c r="A26" s="170"/>
      <c r="B26" s="195">
        <v>1622</v>
      </c>
      <c r="C26" s="196">
        <v>46228</v>
      </c>
      <c r="D26" s="196">
        <v>46232</v>
      </c>
      <c r="E26" s="195">
        <v>47</v>
      </c>
      <c r="F26" s="197" t="s">
        <v>134</v>
      </c>
      <c r="G26" s="198">
        <v>15</v>
      </c>
      <c r="H26" s="199" t="s">
        <v>135</v>
      </c>
      <c r="I26" s="195">
        <v>28350</v>
      </c>
      <c r="J26" s="200">
        <v>2.25</v>
      </c>
      <c r="K26" s="179">
        <f>+I26*J26</f>
        <v>63787.5</v>
      </c>
      <c r="L26" s="176">
        <f t="shared" ca="1" si="2"/>
        <v>42.550292708336201</v>
      </c>
      <c r="M26" s="176">
        <f t="shared" ca="1" si="2"/>
        <v>38.550292708336201</v>
      </c>
      <c r="N26" s="177"/>
    </row>
    <row r="27" spans="1:14" ht="16.5" customHeight="1">
      <c r="A27" s="170"/>
      <c r="B27" s="178"/>
      <c r="C27" s="202"/>
      <c r="D27" s="153"/>
      <c r="E27" s="178"/>
      <c r="F27" s="152"/>
      <c r="G27" s="178"/>
      <c r="H27" s="155"/>
      <c r="I27" s="178"/>
      <c r="J27" s="178"/>
      <c r="K27" s="178"/>
      <c r="L27" s="178"/>
      <c r="M27" s="178"/>
      <c r="N27" s="203"/>
    </row>
    <row r="28" spans="1:14" s="187" customFormat="1" ht="16.5" customHeight="1">
      <c r="B28" s="262" t="s">
        <v>11</v>
      </c>
      <c r="C28" s="263"/>
      <c r="D28" s="263"/>
      <c r="E28" s="263"/>
      <c r="F28" s="264"/>
      <c r="G28" s="182">
        <f>SUM(G24:G27)</f>
        <v>39</v>
      </c>
      <c r="H28" s="183" t="s">
        <v>134</v>
      </c>
      <c r="I28" s="182">
        <f>SUM(I24:I27)</f>
        <v>73710</v>
      </c>
      <c r="J28" s="182"/>
      <c r="K28" s="184">
        <f>SUM(K24:K27)</f>
        <v>165847.5</v>
      </c>
      <c r="L28" s="185"/>
      <c r="M28" s="185"/>
      <c r="N28" s="182"/>
    </row>
    <row r="29" spans="1:14" ht="16.5" customHeight="1">
      <c r="A29" s="170"/>
      <c r="B29" s="171">
        <v>4438</v>
      </c>
      <c r="C29" s="172">
        <v>46088</v>
      </c>
      <c r="D29" s="172">
        <v>46092</v>
      </c>
      <c r="E29" s="171">
        <v>100</v>
      </c>
      <c r="F29" s="147" t="s">
        <v>136</v>
      </c>
      <c r="G29" s="173">
        <f>42-3-12-9-6</f>
        <v>12</v>
      </c>
      <c r="H29" s="174" t="s">
        <v>137</v>
      </c>
      <c r="I29" s="171">
        <f>203840-14560-58240-43680-29120</f>
        <v>58240</v>
      </c>
      <c r="J29" s="148">
        <v>1.01</v>
      </c>
      <c r="K29" s="179">
        <f>+I29*J29</f>
        <v>58822.400000000001</v>
      </c>
      <c r="L29" s="176">
        <f ca="1">$L$3-C29</f>
        <v>182.5502927083362</v>
      </c>
      <c r="M29" s="176">
        <f ca="1">$L$3-D29</f>
        <v>178.5502927083362</v>
      </c>
      <c r="N29" s="177"/>
    </row>
    <row r="30" spans="1:14" ht="16.5" customHeight="1">
      <c r="A30" s="201"/>
      <c r="B30" s="195">
        <v>1841</v>
      </c>
      <c r="C30" s="196">
        <v>46242</v>
      </c>
      <c r="D30" s="196">
        <v>46246</v>
      </c>
      <c r="E30" s="195">
        <v>49</v>
      </c>
      <c r="F30" s="197" t="s">
        <v>136</v>
      </c>
      <c r="G30" s="198">
        <v>15</v>
      </c>
      <c r="H30" s="199" t="s">
        <v>137</v>
      </c>
      <c r="I30" s="195">
        <v>72800</v>
      </c>
      <c r="J30" s="200">
        <v>1.01</v>
      </c>
      <c r="K30" s="179">
        <f>+I30*J30</f>
        <v>73528</v>
      </c>
      <c r="L30" s="176">
        <f ca="1">$L$3-C30</f>
        <v>28.550292708336201</v>
      </c>
      <c r="M30" s="176">
        <f ca="1">$L$3-D30</f>
        <v>24.550292708336201</v>
      </c>
      <c r="N30" s="177"/>
    </row>
    <row r="31" spans="1:14" ht="16.5" customHeight="1">
      <c r="A31" s="170"/>
      <c r="B31" s="152"/>
      <c r="C31" s="153"/>
      <c r="D31" s="153"/>
      <c r="E31" s="153"/>
      <c r="F31" s="152"/>
      <c r="G31" s="178"/>
      <c r="H31" s="155"/>
      <c r="I31" s="178"/>
      <c r="J31" s="178"/>
      <c r="K31" s="204"/>
      <c r="L31" s="204"/>
      <c r="M31" s="204"/>
      <c r="N31" s="147"/>
    </row>
    <row r="32" spans="1:14" s="187" customFormat="1" ht="16.5" customHeight="1">
      <c r="A32" s="181"/>
      <c r="B32" s="262" t="s">
        <v>11</v>
      </c>
      <c r="C32" s="263"/>
      <c r="D32" s="263"/>
      <c r="E32" s="263"/>
      <c r="F32" s="264"/>
      <c r="G32" s="182">
        <f>SUM(G29:G31)</f>
        <v>27</v>
      </c>
      <c r="H32" s="183" t="s">
        <v>136</v>
      </c>
      <c r="I32" s="182">
        <f>SUM(I29:I31)</f>
        <v>131040</v>
      </c>
      <c r="J32" s="182"/>
      <c r="K32" s="184">
        <f>SUM(K29:K31)</f>
        <v>132350.39999999999</v>
      </c>
      <c r="L32" s="185"/>
      <c r="M32" s="185"/>
      <c r="N32" s="186"/>
    </row>
    <row r="33" spans="1:22" ht="18" customHeight="1">
      <c r="A33" s="170"/>
      <c r="B33" s="195">
        <v>1622</v>
      </c>
      <c r="C33" s="196">
        <v>46228</v>
      </c>
      <c r="D33" s="196">
        <v>46232</v>
      </c>
      <c r="E33" s="195">
        <v>47</v>
      </c>
      <c r="F33" s="197" t="s">
        <v>138</v>
      </c>
      <c r="G33" s="198">
        <f>27-6-9</f>
        <v>12</v>
      </c>
      <c r="H33" s="199" t="s">
        <v>139</v>
      </c>
      <c r="I33" s="195">
        <f>105840-23520-35280</f>
        <v>47040</v>
      </c>
      <c r="J33" s="200">
        <v>1.17</v>
      </c>
      <c r="K33" s="179">
        <f>+I33*J33</f>
        <v>55036.799999999996</v>
      </c>
      <c r="L33" s="176">
        <f ca="1">$L$3-C33</f>
        <v>42.550292708336201</v>
      </c>
      <c r="M33" s="176">
        <f ca="1">$L$3-D33</f>
        <v>38.550292708336201</v>
      </c>
      <c r="N33" s="177"/>
    </row>
    <row r="34" spans="1:22" ht="18" customHeight="1">
      <c r="A34" s="201"/>
      <c r="B34" s="195">
        <v>1841</v>
      </c>
      <c r="C34" s="196">
        <v>46242</v>
      </c>
      <c r="D34" s="196">
        <v>46246</v>
      </c>
      <c r="E34" s="195">
        <v>49</v>
      </c>
      <c r="F34" s="197" t="s">
        <v>138</v>
      </c>
      <c r="G34" s="198">
        <v>15</v>
      </c>
      <c r="H34" s="199" t="s">
        <v>139</v>
      </c>
      <c r="I34" s="195">
        <v>58800</v>
      </c>
      <c r="J34" s="200">
        <v>1.17</v>
      </c>
      <c r="K34" s="179">
        <f>+I34*J34</f>
        <v>68796</v>
      </c>
      <c r="L34" s="176">
        <f ca="1">$L$3-C34</f>
        <v>28.550292708336201</v>
      </c>
      <c r="M34" s="176">
        <f ca="1">$L$3-D34</f>
        <v>24.550292708336201</v>
      </c>
      <c r="N34" s="177"/>
    </row>
    <row r="35" spans="1:22" ht="18" customHeight="1">
      <c r="A35" s="170"/>
      <c r="B35" s="152"/>
      <c r="C35" s="153"/>
      <c r="D35" s="153"/>
      <c r="E35" s="152"/>
      <c r="F35" s="152"/>
      <c r="G35" s="152"/>
      <c r="H35" s="155"/>
      <c r="I35" s="152"/>
      <c r="J35" s="152"/>
      <c r="K35" s="152"/>
      <c r="L35" s="152"/>
      <c r="M35" s="152"/>
      <c r="N35" s="177"/>
    </row>
    <row r="36" spans="1:22" s="187" customFormat="1" ht="18" customHeight="1">
      <c r="A36" s="181"/>
      <c r="B36" s="262" t="s">
        <v>11</v>
      </c>
      <c r="C36" s="263"/>
      <c r="D36" s="263"/>
      <c r="E36" s="263"/>
      <c r="F36" s="264"/>
      <c r="G36" s="182">
        <f>SUM(G33:G35)</f>
        <v>27</v>
      </c>
      <c r="H36" s="183" t="s">
        <v>138</v>
      </c>
      <c r="I36" s="182">
        <f>SUM(I33:I35)</f>
        <v>105840</v>
      </c>
      <c r="J36" s="182"/>
      <c r="K36" s="184">
        <f>SUM(K33:K35)</f>
        <v>123832.79999999999</v>
      </c>
      <c r="L36" s="185"/>
      <c r="M36" s="185"/>
      <c r="N36" s="186"/>
    </row>
    <row r="37" spans="1:22" ht="18" customHeight="1">
      <c r="A37" s="201"/>
      <c r="B37" s="6">
        <v>2035</v>
      </c>
      <c r="C37" s="28">
        <v>46261</v>
      </c>
      <c r="D37" s="28">
        <v>46266</v>
      </c>
      <c r="E37" s="6">
        <v>55</v>
      </c>
      <c r="F37" s="49" t="s">
        <v>80</v>
      </c>
      <c r="G37" s="11">
        <f>243-30-30-12-9-6-15-15</f>
        <v>126</v>
      </c>
      <c r="H37" s="205" t="s">
        <v>81</v>
      </c>
      <c r="I37" s="6">
        <f>737100-91000-91000-36400-27300-18200-45500-45500</f>
        <v>382200</v>
      </c>
      <c r="J37" s="146">
        <v>1.34</v>
      </c>
      <c r="K37" s="179">
        <f>+I37*J37</f>
        <v>512148.00000000006</v>
      </c>
      <c r="L37" s="176">
        <f ca="1">$L$3-C37</f>
        <v>9.550292708336201</v>
      </c>
      <c r="M37" s="176">
        <f ca="1">$L$3-D37</f>
        <v>4.550292708336201</v>
      </c>
      <c r="N37" s="177"/>
    </row>
    <row r="38" spans="1:22" ht="18" customHeight="1">
      <c r="A38" s="170"/>
      <c r="B38" s="152"/>
      <c r="C38" s="153"/>
      <c r="D38" s="153"/>
      <c r="E38" s="152"/>
      <c r="F38" s="152"/>
      <c r="G38" s="152"/>
      <c r="H38" s="155"/>
      <c r="I38" s="152"/>
      <c r="J38" s="152"/>
      <c r="K38" s="152"/>
      <c r="L38" s="152"/>
      <c r="M38" s="152"/>
      <c r="N38" s="177"/>
    </row>
    <row r="39" spans="1:22" s="187" customFormat="1" ht="18" customHeight="1">
      <c r="A39" s="181"/>
      <c r="B39" s="262" t="s">
        <v>11</v>
      </c>
      <c r="C39" s="263"/>
      <c r="D39" s="263"/>
      <c r="E39" s="263"/>
      <c r="F39" s="264"/>
      <c r="G39" s="182">
        <f>SUM(G37:G38)</f>
        <v>126</v>
      </c>
      <c r="H39" s="183" t="s">
        <v>80</v>
      </c>
      <c r="I39" s="182">
        <f>SUM(I37:I38)</f>
        <v>382200</v>
      </c>
      <c r="J39" s="182"/>
      <c r="K39" s="184">
        <f>SUM(K37:K38)</f>
        <v>512148.00000000006</v>
      </c>
      <c r="L39" s="185"/>
      <c r="M39" s="185"/>
      <c r="N39" s="186"/>
    </row>
    <row r="40" spans="1:22" ht="18" customHeight="1">
      <c r="A40" s="170"/>
      <c r="B40" s="171">
        <v>1207</v>
      </c>
      <c r="C40" s="172">
        <v>46199</v>
      </c>
      <c r="D40" s="172">
        <v>46203</v>
      </c>
      <c r="E40" s="171">
        <v>33</v>
      </c>
      <c r="F40" s="147" t="s">
        <v>116</v>
      </c>
      <c r="G40" s="173">
        <f>123-18-18-18-21-21-21</f>
        <v>6</v>
      </c>
      <c r="H40" s="174" t="s">
        <v>140</v>
      </c>
      <c r="I40" s="171">
        <f>265680-38880-38880-38880-45360-45360-45360</f>
        <v>12960</v>
      </c>
      <c r="J40" s="148">
        <v>1.83</v>
      </c>
      <c r="K40" s="179">
        <f>+I40*J40</f>
        <v>23716.799999999999</v>
      </c>
      <c r="L40" s="176">
        <f ca="1">$L$3-C40</f>
        <v>71.550292708336201</v>
      </c>
      <c r="M40" s="176">
        <f ca="1">$L$3-D40</f>
        <v>67.550292708336201</v>
      </c>
      <c r="N40" s="140"/>
    </row>
    <row r="41" spans="1:22" ht="18" customHeight="1">
      <c r="A41" s="170"/>
      <c r="B41" s="195">
        <v>1498</v>
      </c>
      <c r="C41" s="196">
        <v>46220</v>
      </c>
      <c r="D41" s="196">
        <v>46223</v>
      </c>
      <c r="E41" s="195">
        <v>43</v>
      </c>
      <c r="F41" s="197" t="s">
        <v>116</v>
      </c>
      <c r="G41" s="198">
        <v>24</v>
      </c>
      <c r="H41" s="199" t="s">
        <v>140</v>
      </c>
      <c r="I41" s="195">
        <f>8*6480</f>
        <v>51840</v>
      </c>
      <c r="J41" s="200">
        <v>1.83</v>
      </c>
      <c r="K41" s="179">
        <f>+I40*J40</f>
        <v>23716.799999999999</v>
      </c>
      <c r="L41" s="176">
        <f ca="1">$L$3-C40</f>
        <v>71.550292708336201</v>
      </c>
      <c r="M41" s="176">
        <f ca="1">$L$3-D40</f>
        <v>67.550292708336201</v>
      </c>
      <c r="N41" s="177"/>
    </row>
    <row r="42" spans="1:22" ht="18" customHeight="1">
      <c r="A42" s="201"/>
      <c r="B42" s="195">
        <v>1841</v>
      </c>
      <c r="C42" s="196">
        <v>46242</v>
      </c>
      <c r="D42" s="196">
        <v>46246</v>
      </c>
      <c r="E42" s="195">
        <v>49</v>
      </c>
      <c r="F42" s="197" t="s">
        <v>116</v>
      </c>
      <c r="G42" s="198">
        <v>48</v>
      </c>
      <c r="H42" s="199" t="s">
        <v>140</v>
      </c>
      <c r="I42" s="195">
        <v>103680</v>
      </c>
      <c r="J42" s="200">
        <v>1.83</v>
      </c>
      <c r="K42" s="179">
        <f>+I41*J41</f>
        <v>94867.199999999997</v>
      </c>
      <c r="L42" s="176">
        <f ca="1">$L$3-C41</f>
        <v>50.550292708336201</v>
      </c>
      <c r="M42" s="176">
        <f ca="1">$L$3-D41</f>
        <v>47.550292708336201</v>
      </c>
      <c r="N42" s="177"/>
    </row>
    <row r="43" spans="1:22" s="207" customFormat="1" ht="18" customHeight="1">
      <c r="A43" s="206"/>
      <c r="B43" s="152"/>
      <c r="C43" s="153"/>
      <c r="D43" s="153"/>
      <c r="E43" s="152"/>
      <c r="F43" s="152"/>
      <c r="G43" s="152"/>
      <c r="H43" s="155"/>
      <c r="I43" s="152"/>
      <c r="J43" s="152"/>
      <c r="K43" s="179"/>
      <c r="L43" s="179"/>
      <c r="M43" s="179"/>
      <c r="N43" s="177"/>
      <c r="O43" s="140"/>
      <c r="P43" s="140"/>
      <c r="Q43" s="140"/>
      <c r="R43" s="140"/>
      <c r="S43" s="140"/>
      <c r="T43" s="140"/>
      <c r="U43" s="140"/>
      <c r="V43" s="140"/>
    </row>
    <row r="44" spans="1:22" s="187" customFormat="1" ht="18" customHeight="1">
      <c r="A44" s="208"/>
      <c r="B44" s="262" t="s">
        <v>11</v>
      </c>
      <c r="C44" s="263"/>
      <c r="D44" s="263"/>
      <c r="E44" s="263"/>
      <c r="F44" s="264"/>
      <c r="G44" s="182">
        <f>SUM(G40:G43)</f>
        <v>78</v>
      </c>
      <c r="H44" s="183" t="s">
        <v>116</v>
      </c>
      <c r="I44" s="182">
        <f>SUM(I40:I43)</f>
        <v>168480</v>
      </c>
      <c r="J44" s="182"/>
      <c r="K44" s="184">
        <f>SUM(K41:K43)</f>
        <v>118584</v>
      </c>
      <c r="L44" s="185"/>
      <c r="M44" s="185"/>
      <c r="N44" s="186"/>
    </row>
    <row r="45" spans="1:22" ht="18" customHeight="1">
      <c r="A45" s="201"/>
      <c r="B45" s="195">
        <v>2035</v>
      </c>
      <c r="C45" s="196">
        <v>46261</v>
      </c>
      <c r="D45" s="196">
        <v>46266</v>
      </c>
      <c r="E45" s="195">
        <v>55</v>
      </c>
      <c r="F45" s="197" t="s">
        <v>84</v>
      </c>
      <c r="G45" s="198">
        <f>I45/5200*3</f>
        <v>12</v>
      </c>
      <c r="H45" s="199" t="s">
        <v>85</v>
      </c>
      <c r="I45" s="195">
        <v>20800</v>
      </c>
      <c r="J45" s="200">
        <v>2.5499999999999998</v>
      </c>
      <c r="K45" s="179">
        <f>+I45*J45</f>
        <v>53039.999999999993</v>
      </c>
      <c r="L45" s="176">
        <f ca="1">$L$3-C45</f>
        <v>9.550292708336201</v>
      </c>
      <c r="M45" s="176">
        <f ca="1">$L$3-D45</f>
        <v>4.550292708336201</v>
      </c>
      <c r="N45" s="177"/>
    </row>
    <row r="46" spans="1:22" s="207" customFormat="1" ht="18" customHeight="1">
      <c r="A46" s="206"/>
      <c r="B46" s="152"/>
      <c r="C46" s="153"/>
      <c r="D46" s="153"/>
      <c r="E46" s="152"/>
      <c r="F46" s="152"/>
      <c r="G46" s="152"/>
      <c r="H46" s="155"/>
      <c r="I46" s="152"/>
      <c r="J46" s="152"/>
      <c r="K46" s="152"/>
      <c r="L46" s="152"/>
      <c r="M46" s="152"/>
      <c r="N46" s="177"/>
      <c r="O46" s="140"/>
      <c r="P46" s="140"/>
      <c r="Q46" s="140"/>
      <c r="R46" s="140"/>
      <c r="S46" s="140"/>
      <c r="T46" s="140"/>
      <c r="U46" s="140"/>
      <c r="V46" s="140"/>
    </row>
    <row r="47" spans="1:22" s="187" customFormat="1" ht="18" customHeight="1">
      <c r="A47" s="208"/>
      <c r="B47" s="262" t="s">
        <v>11</v>
      </c>
      <c r="C47" s="263"/>
      <c r="D47" s="263"/>
      <c r="E47" s="263"/>
      <c r="F47" s="264"/>
      <c r="G47" s="182">
        <f>SUM(G45:G46)</f>
        <v>12</v>
      </c>
      <c r="H47" s="183" t="s">
        <v>84</v>
      </c>
      <c r="I47" s="182">
        <f>SUM(I45:I46)</f>
        <v>20800</v>
      </c>
      <c r="J47" s="182"/>
      <c r="K47" s="184">
        <f>SUM(K45:K46)</f>
        <v>53039.999999999993</v>
      </c>
      <c r="L47" s="185"/>
      <c r="M47" s="185"/>
      <c r="N47" s="186"/>
    </row>
    <row r="48" spans="1:22" ht="18" customHeight="1">
      <c r="A48" s="170"/>
      <c r="B48" s="195">
        <v>1622</v>
      </c>
      <c r="C48" s="196">
        <v>46228</v>
      </c>
      <c r="D48" s="196">
        <v>46232</v>
      </c>
      <c r="E48" s="195">
        <v>47</v>
      </c>
      <c r="F48" s="197" t="s">
        <v>141</v>
      </c>
      <c r="G48" s="198">
        <v>78</v>
      </c>
      <c r="H48" s="199" t="s">
        <v>142</v>
      </c>
      <c r="I48" s="195">
        <v>205920</v>
      </c>
      <c r="J48" s="200">
        <v>1.62</v>
      </c>
      <c r="K48" s="179">
        <f>+I48*J48</f>
        <v>333590.40000000002</v>
      </c>
      <c r="L48" s="176">
        <f ca="1">$L$3-C48</f>
        <v>42.550292708336201</v>
      </c>
      <c r="M48" s="176">
        <f ca="1">$L$3-D48</f>
        <v>38.550292708336201</v>
      </c>
      <c r="N48" s="177"/>
    </row>
    <row r="49" spans="1:22" ht="18" customHeight="1">
      <c r="A49" s="201"/>
      <c r="B49" s="195">
        <v>1841</v>
      </c>
      <c r="C49" s="196">
        <v>46242</v>
      </c>
      <c r="D49" s="196">
        <v>46246</v>
      </c>
      <c r="E49" s="195">
        <v>49</v>
      </c>
      <c r="F49" s="197" t="s">
        <v>141</v>
      </c>
      <c r="G49" s="198">
        <v>21</v>
      </c>
      <c r="H49" s="199" t="s">
        <v>142</v>
      </c>
      <c r="I49" s="195">
        <v>55440</v>
      </c>
      <c r="J49" s="200">
        <v>1.62</v>
      </c>
      <c r="K49" s="179">
        <f>+I49*J49</f>
        <v>89812.800000000003</v>
      </c>
      <c r="L49" s="176">
        <f ca="1">$L$3-C49</f>
        <v>28.550292708336201</v>
      </c>
      <c r="M49" s="176">
        <f ca="1">$L$3-D49</f>
        <v>24.550292708336201</v>
      </c>
      <c r="N49" s="177"/>
    </row>
    <row r="50" spans="1:22" s="207" customFormat="1" ht="18" customHeight="1">
      <c r="A50" s="206"/>
      <c r="B50" s="152"/>
      <c r="C50" s="153"/>
      <c r="D50" s="153"/>
      <c r="E50" s="152"/>
      <c r="F50" s="152"/>
      <c r="G50" s="152"/>
      <c r="H50" s="155"/>
      <c r="I50" s="152"/>
      <c r="J50" s="152"/>
      <c r="K50" s="152"/>
      <c r="L50" s="152"/>
      <c r="M50" s="152"/>
      <c r="N50" s="177"/>
      <c r="O50" s="140"/>
      <c r="P50" s="140"/>
      <c r="Q50" s="140"/>
      <c r="R50" s="140"/>
      <c r="S50" s="140"/>
      <c r="T50" s="140"/>
      <c r="U50" s="140"/>
      <c r="V50" s="140"/>
    </row>
    <row r="51" spans="1:22" s="187" customFormat="1" ht="18" customHeight="1">
      <c r="A51" s="208"/>
      <c r="B51" s="262" t="s">
        <v>11</v>
      </c>
      <c r="C51" s="263"/>
      <c r="D51" s="263"/>
      <c r="E51" s="263"/>
      <c r="F51" s="264"/>
      <c r="G51" s="182">
        <f>SUM(G48:G50)</f>
        <v>99</v>
      </c>
      <c r="H51" s="183" t="s">
        <v>141</v>
      </c>
      <c r="I51" s="182">
        <f>SUM(I48:I50)</f>
        <v>261360</v>
      </c>
      <c r="J51" s="182"/>
      <c r="K51" s="184">
        <f>SUM(K48:K50)</f>
        <v>423403.2</v>
      </c>
      <c r="L51" s="185"/>
      <c r="M51" s="185"/>
      <c r="N51" s="186"/>
    </row>
    <row r="52" spans="1:22" ht="18" customHeight="1">
      <c r="A52" s="201"/>
      <c r="B52" s="195">
        <v>1841</v>
      </c>
      <c r="C52" s="196">
        <v>46242</v>
      </c>
      <c r="D52" s="196">
        <v>46246</v>
      </c>
      <c r="E52" s="195">
        <v>49</v>
      </c>
      <c r="F52" s="197" t="s">
        <v>143</v>
      </c>
      <c r="G52" s="198">
        <f>45-3</f>
        <v>42</v>
      </c>
      <c r="H52" s="199" t="s">
        <v>144</v>
      </c>
      <c r="I52" s="195">
        <f>105300-7020</f>
        <v>98280</v>
      </c>
      <c r="J52" s="200">
        <v>2.1</v>
      </c>
      <c r="K52" s="179">
        <f>+I52*J52</f>
        <v>206388</v>
      </c>
      <c r="L52" s="176">
        <f t="shared" ref="L52:M52" ca="1" si="3">$L$3-C52</f>
        <v>28.550292708336201</v>
      </c>
      <c r="M52" s="176">
        <f t="shared" ca="1" si="3"/>
        <v>24.550292708336201</v>
      </c>
      <c r="N52" s="177"/>
    </row>
    <row r="53" spans="1:22" s="207" customFormat="1" ht="18" customHeight="1">
      <c r="A53" s="206"/>
      <c r="B53" s="152"/>
      <c r="C53" s="153"/>
      <c r="D53" s="153"/>
      <c r="E53" s="153"/>
      <c r="F53" s="152"/>
      <c r="G53" s="152"/>
      <c r="H53" s="155"/>
      <c r="I53" s="152"/>
      <c r="J53" s="152"/>
      <c r="K53" s="209"/>
      <c r="L53" s="209"/>
      <c r="M53" s="209"/>
      <c r="N53" s="190"/>
      <c r="O53" s="140"/>
      <c r="P53" s="140"/>
      <c r="Q53" s="140"/>
      <c r="R53" s="140"/>
      <c r="S53" s="140"/>
      <c r="T53" s="140"/>
      <c r="U53" s="140"/>
      <c r="V53" s="140"/>
    </row>
    <row r="54" spans="1:22" s="187" customFormat="1" ht="18" customHeight="1">
      <c r="A54" s="208"/>
      <c r="B54" s="262" t="s">
        <v>11</v>
      </c>
      <c r="C54" s="263"/>
      <c r="D54" s="263"/>
      <c r="E54" s="263"/>
      <c r="F54" s="264"/>
      <c r="G54" s="182">
        <f>SUM(G52:G53)</f>
        <v>42</v>
      </c>
      <c r="H54" s="183" t="s">
        <v>143</v>
      </c>
      <c r="I54" s="182">
        <f>SUM(I52:I53)</f>
        <v>98280</v>
      </c>
      <c r="J54" s="182"/>
      <c r="K54" s="184">
        <f>SUM(K52:K53)</f>
        <v>206388</v>
      </c>
      <c r="L54" s="185"/>
      <c r="M54" s="185"/>
      <c r="N54" s="186"/>
    </row>
    <row r="55" spans="1:22" ht="18" customHeight="1">
      <c r="A55" s="201"/>
      <c r="B55" s="195"/>
      <c r="C55" s="196"/>
      <c r="D55" s="196"/>
      <c r="E55" s="195"/>
      <c r="F55" s="197" t="s">
        <v>145</v>
      </c>
      <c r="G55" s="198"/>
      <c r="H55" s="199" t="s">
        <v>146</v>
      </c>
      <c r="I55" s="195"/>
      <c r="J55" s="200"/>
      <c r="K55" s="179">
        <f>+I55*J55</f>
        <v>0</v>
      </c>
      <c r="L55" s="176">
        <f ca="1">$L$3-C55</f>
        <v>46270.550292708336</v>
      </c>
      <c r="M55" s="176">
        <f ca="1">$L$3-D55</f>
        <v>46270.550292708336</v>
      </c>
      <c r="N55" s="177"/>
    </row>
    <row r="56" spans="1:22" s="207" customFormat="1" ht="18" customHeight="1">
      <c r="A56" s="206"/>
      <c r="B56" s="152"/>
      <c r="C56" s="153"/>
      <c r="D56" s="153"/>
      <c r="E56" s="152"/>
      <c r="F56" s="152"/>
      <c r="G56" s="152"/>
      <c r="H56" s="155"/>
      <c r="I56" s="152"/>
      <c r="J56" s="152"/>
      <c r="K56" s="152"/>
      <c r="L56" s="152"/>
      <c r="M56" s="152"/>
      <c r="N56" s="177"/>
      <c r="O56" s="140"/>
      <c r="P56" s="140"/>
      <c r="Q56" s="140"/>
      <c r="R56" s="140"/>
      <c r="S56" s="140"/>
      <c r="T56" s="140"/>
      <c r="U56" s="140"/>
      <c r="V56" s="140"/>
    </row>
    <row r="57" spans="1:22" s="187" customFormat="1" ht="18" customHeight="1">
      <c r="A57" s="208"/>
      <c r="B57" s="262" t="s">
        <v>11</v>
      </c>
      <c r="C57" s="263"/>
      <c r="D57" s="263"/>
      <c r="E57" s="263"/>
      <c r="F57" s="264"/>
      <c r="G57" s="182">
        <f>SUM(G55:G56)</f>
        <v>0</v>
      </c>
      <c r="H57" s="183" t="s">
        <v>145</v>
      </c>
      <c r="I57" s="182">
        <f>SUM(I55:I56)</f>
        <v>0</v>
      </c>
      <c r="J57" s="182"/>
      <c r="K57" s="184">
        <f>SUM(K55:K56)</f>
        <v>0</v>
      </c>
      <c r="L57" s="185"/>
      <c r="M57" s="185"/>
      <c r="N57" s="186"/>
    </row>
    <row r="58" spans="1:22" ht="18" customHeight="1">
      <c r="A58" s="170"/>
      <c r="B58" s="171">
        <v>3228</v>
      </c>
      <c r="C58" s="172">
        <v>45998</v>
      </c>
      <c r="D58" s="172">
        <v>46001</v>
      </c>
      <c r="E58" s="171">
        <v>68</v>
      </c>
      <c r="F58" s="147" t="s">
        <v>147</v>
      </c>
      <c r="G58" s="173">
        <f>12-9</f>
        <v>3</v>
      </c>
      <c r="H58" s="174" t="s">
        <v>148</v>
      </c>
      <c r="I58" s="171">
        <f>32832-24624</f>
        <v>8208</v>
      </c>
      <c r="J58" s="148">
        <v>2.4300000000000002</v>
      </c>
      <c r="K58" s="179">
        <f>+I58*J58</f>
        <v>19945.440000000002</v>
      </c>
      <c r="L58" s="176">
        <f ca="1">$L$3-C58</f>
        <v>272.5502927083362</v>
      </c>
      <c r="M58" s="176">
        <f ca="1">$L$3-D58</f>
        <v>269.5502927083362</v>
      </c>
      <c r="N58" s="177"/>
    </row>
    <row r="59" spans="1:22" ht="18" customHeight="1">
      <c r="A59" s="170"/>
      <c r="B59" s="171">
        <v>78</v>
      </c>
      <c r="C59" s="172">
        <v>46116</v>
      </c>
      <c r="D59" s="172">
        <v>46120</v>
      </c>
      <c r="E59" s="171">
        <v>3</v>
      </c>
      <c r="F59" s="147" t="s">
        <v>147</v>
      </c>
      <c r="G59" s="173">
        <v>9</v>
      </c>
      <c r="H59" s="174" t="s">
        <v>148</v>
      </c>
      <c r="I59" s="171">
        <v>24624</v>
      </c>
      <c r="J59" s="148">
        <v>2.4300000000000002</v>
      </c>
      <c r="K59" s="179">
        <f>+I59*J59</f>
        <v>59836.320000000007</v>
      </c>
      <c r="L59" s="176">
        <f ca="1">$L$3-C59</f>
        <v>154.5502927083362</v>
      </c>
      <c r="M59" s="176">
        <f ca="1">$L$3-D59</f>
        <v>150.5502927083362</v>
      </c>
      <c r="N59" s="177"/>
    </row>
    <row r="60" spans="1:22" s="207" customFormat="1" ht="18" customHeight="1">
      <c r="A60" s="206"/>
      <c r="B60" s="152"/>
      <c r="C60" s="153"/>
      <c r="D60" s="153"/>
      <c r="E60" s="152"/>
      <c r="F60" s="152"/>
      <c r="G60" s="152"/>
      <c r="H60" s="155"/>
      <c r="I60" s="152"/>
      <c r="J60" s="152"/>
      <c r="K60" s="152"/>
      <c r="L60" s="152"/>
      <c r="M60" s="152"/>
      <c r="N60" s="177"/>
      <c r="O60" s="140"/>
      <c r="P60" s="140"/>
      <c r="Q60" s="140"/>
      <c r="R60" s="140"/>
      <c r="S60" s="140"/>
      <c r="T60" s="140"/>
      <c r="U60" s="140"/>
      <c r="V60" s="140"/>
    </row>
    <row r="61" spans="1:22" s="187" customFormat="1" ht="18" customHeight="1">
      <c r="A61" s="208"/>
      <c r="B61" s="262" t="s">
        <v>11</v>
      </c>
      <c r="C61" s="263"/>
      <c r="D61" s="263"/>
      <c r="E61" s="263"/>
      <c r="F61" s="264"/>
      <c r="G61" s="182">
        <f>SUM(G58:G60)</f>
        <v>12</v>
      </c>
      <c r="H61" s="183" t="s">
        <v>147</v>
      </c>
      <c r="I61" s="182">
        <f>SUM(I58:I60)</f>
        <v>32832</v>
      </c>
      <c r="J61" s="182"/>
      <c r="K61" s="184">
        <f>SUM(K58:K60)</f>
        <v>79781.760000000009</v>
      </c>
      <c r="L61" s="185"/>
      <c r="M61" s="185"/>
      <c r="N61" s="186"/>
    </row>
    <row r="62" spans="1:22" ht="18" customHeight="1">
      <c r="A62" s="170"/>
      <c r="B62" s="171">
        <v>3352</v>
      </c>
      <c r="C62" s="172">
        <v>46009</v>
      </c>
      <c r="D62" s="172">
        <v>46017</v>
      </c>
      <c r="E62" s="171">
        <v>74</v>
      </c>
      <c r="F62" s="147" t="s">
        <v>149</v>
      </c>
      <c r="G62" s="173">
        <f>48-9-9-15</f>
        <v>15</v>
      </c>
      <c r="H62" s="174" t="s">
        <v>150</v>
      </c>
      <c r="I62" s="171">
        <f>61440-11520-11520-19200</f>
        <v>19200</v>
      </c>
      <c r="J62" s="148">
        <v>3.2</v>
      </c>
      <c r="K62" s="179">
        <f>+I62*J62</f>
        <v>61440</v>
      </c>
      <c r="L62" s="176">
        <f ca="1">$L$3-C62</f>
        <v>261.5502927083362</v>
      </c>
      <c r="M62" s="176">
        <f ca="1">$L$3-D62</f>
        <v>253.5502927083362</v>
      </c>
      <c r="N62" s="177"/>
    </row>
    <row r="63" spans="1:22" ht="18" customHeight="1">
      <c r="A63" s="170"/>
      <c r="B63" s="171">
        <v>78</v>
      </c>
      <c r="C63" s="172">
        <v>46116</v>
      </c>
      <c r="D63" s="172">
        <v>46120</v>
      </c>
      <c r="E63" s="171">
        <v>3</v>
      </c>
      <c r="F63" s="147" t="s">
        <v>149</v>
      </c>
      <c r="G63" s="173">
        <v>42</v>
      </c>
      <c r="H63" s="174" t="s">
        <v>150</v>
      </c>
      <c r="I63" s="171">
        <v>53760</v>
      </c>
      <c r="J63" s="148">
        <v>3.2</v>
      </c>
      <c r="K63" s="179">
        <f>+I63*J63</f>
        <v>172032</v>
      </c>
      <c r="L63" s="176">
        <f ca="1">$L$3-C63</f>
        <v>154.5502927083362</v>
      </c>
      <c r="M63" s="176">
        <f ca="1">$L$3-D63</f>
        <v>150.5502927083362</v>
      </c>
      <c r="N63" s="177"/>
    </row>
    <row r="64" spans="1:22" s="207" customFormat="1" ht="18" customHeight="1">
      <c r="A64" s="206"/>
      <c r="B64" s="152"/>
      <c r="C64" s="153"/>
      <c r="D64" s="153"/>
      <c r="E64" s="152"/>
      <c r="F64" s="152"/>
      <c r="G64" s="152"/>
      <c r="H64" s="174"/>
      <c r="I64" s="152"/>
      <c r="J64" s="179"/>
      <c r="K64" s="179"/>
      <c r="L64" s="179"/>
      <c r="M64" s="179"/>
      <c r="N64" s="177"/>
      <c r="O64" s="140"/>
      <c r="P64" s="140"/>
      <c r="Q64" s="140"/>
      <c r="R64" s="140"/>
      <c r="S64" s="140"/>
      <c r="T64" s="140"/>
      <c r="U64" s="140"/>
      <c r="V64" s="140"/>
    </row>
    <row r="65" spans="1:22" s="187" customFormat="1" ht="18" customHeight="1">
      <c r="A65" s="208"/>
      <c r="B65" s="262" t="s">
        <v>11</v>
      </c>
      <c r="C65" s="263"/>
      <c r="D65" s="263"/>
      <c r="E65" s="263"/>
      <c r="F65" s="264"/>
      <c r="G65" s="210">
        <f>SUM(G62:G64)</f>
        <v>57</v>
      </c>
      <c r="H65" s="183" t="s">
        <v>149</v>
      </c>
      <c r="I65" s="182">
        <f>SUM(I62:I64)</f>
        <v>72960</v>
      </c>
      <c r="J65" s="182"/>
      <c r="K65" s="184">
        <f>SUM(K62:K64)</f>
        <v>233472</v>
      </c>
      <c r="L65" s="185"/>
      <c r="M65" s="185"/>
      <c r="N65" s="186"/>
    </row>
    <row r="66" spans="1:22" ht="18" customHeight="1">
      <c r="A66" s="201"/>
      <c r="B66" s="195">
        <v>2035</v>
      </c>
      <c r="C66" s="196">
        <v>46261</v>
      </c>
      <c r="D66" s="196">
        <v>46266</v>
      </c>
      <c r="E66" s="195">
        <v>55</v>
      </c>
      <c r="F66" s="197" t="s">
        <v>76</v>
      </c>
      <c r="G66" s="198">
        <f>54-9</f>
        <v>45</v>
      </c>
      <c r="H66" s="199" t="s">
        <v>77</v>
      </c>
      <c r="I66" s="195">
        <f>40320-6720</f>
        <v>33600</v>
      </c>
      <c r="J66" s="200">
        <v>4.34</v>
      </c>
      <c r="K66" s="179">
        <f>+I66*J66</f>
        <v>145824</v>
      </c>
      <c r="L66" s="176">
        <f t="shared" ref="L66:M66" ca="1" si="4">$L$3-C66</f>
        <v>9.550292708336201</v>
      </c>
      <c r="M66" s="176">
        <f t="shared" ca="1" si="4"/>
        <v>4.550292708336201</v>
      </c>
      <c r="N66" s="177"/>
    </row>
    <row r="67" spans="1:22" s="207" customFormat="1" ht="18" customHeight="1">
      <c r="A67" s="206"/>
      <c r="B67" s="152"/>
      <c r="C67" s="153"/>
      <c r="D67" s="153"/>
      <c r="E67" s="152"/>
      <c r="F67" s="152"/>
      <c r="G67" s="152"/>
      <c r="H67" s="174"/>
      <c r="I67" s="152"/>
      <c r="J67" s="179"/>
      <c r="K67" s="179"/>
      <c r="L67" s="179"/>
      <c r="M67" s="179"/>
      <c r="N67" s="177"/>
      <c r="O67" s="140"/>
      <c r="P67" s="140"/>
      <c r="Q67" s="140"/>
      <c r="R67" s="140"/>
      <c r="S67" s="140"/>
      <c r="T67" s="140"/>
      <c r="U67" s="140"/>
      <c r="V67" s="140"/>
    </row>
    <row r="68" spans="1:22" s="187" customFormat="1" ht="18" customHeight="1">
      <c r="A68" s="208"/>
      <c r="B68" s="262" t="s">
        <v>11</v>
      </c>
      <c r="C68" s="263"/>
      <c r="D68" s="263"/>
      <c r="E68" s="263"/>
      <c r="F68" s="264"/>
      <c r="G68" s="210">
        <f>SUM(G66:G67)</f>
        <v>45</v>
      </c>
      <c r="H68" s="183" t="s">
        <v>76</v>
      </c>
      <c r="I68" s="182">
        <f>SUM(I66:I67)</f>
        <v>33600</v>
      </c>
      <c r="J68" s="182"/>
      <c r="K68" s="184">
        <f>SUM(K66:K67)</f>
        <v>145824</v>
      </c>
      <c r="L68" s="185"/>
      <c r="M68" s="185"/>
      <c r="N68" s="186"/>
    </row>
    <row r="69" spans="1:22" ht="18" customHeight="1">
      <c r="A69" s="201"/>
      <c r="B69" s="171">
        <v>655</v>
      </c>
      <c r="C69" s="172">
        <v>46161</v>
      </c>
      <c r="D69" s="172">
        <v>46164</v>
      </c>
      <c r="E69" s="171">
        <v>20</v>
      </c>
      <c r="F69" s="147" t="s">
        <v>151</v>
      </c>
      <c r="G69" s="173">
        <v>6</v>
      </c>
      <c r="H69" s="174" t="s">
        <v>152</v>
      </c>
      <c r="I69" s="171">
        <v>16800</v>
      </c>
      <c r="J69" s="148">
        <v>1.9</v>
      </c>
      <c r="K69" s="179">
        <f>+I69*J69</f>
        <v>31920</v>
      </c>
      <c r="L69" s="176">
        <f ca="1">$L$3-C69</f>
        <v>109.5502927083362</v>
      </c>
      <c r="M69" s="176">
        <f ca="1">$L$3-D69</f>
        <v>106.5502927083362</v>
      </c>
      <c r="N69" s="177"/>
    </row>
    <row r="70" spans="1:22" s="207" customFormat="1" ht="18" customHeight="1">
      <c r="B70" s="152"/>
      <c r="C70" s="153"/>
      <c r="D70" s="153"/>
      <c r="E70" s="152"/>
      <c r="F70" s="152"/>
      <c r="G70" s="152"/>
      <c r="H70" s="155"/>
      <c r="I70" s="152"/>
      <c r="J70" s="152"/>
      <c r="K70" s="152"/>
      <c r="L70" s="152"/>
      <c r="M70" s="152"/>
      <c r="N70" s="177"/>
      <c r="O70" s="140"/>
      <c r="P70" s="140"/>
      <c r="Q70" s="140"/>
      <c r="R70" s="140"/>
      <c r="S70" s="140"/>
      <c r="T70" s="140"/>
      <c r="U70" s="140"/>
      <c r="V70" s="140"/>
    </row>
    <row r="71" spans="1:22" s="187" customFormat="1" ht="18" customHeight="1">
      <c r="A71" s="208"/>
      <c r="B71" s="262" t="s">
        <v>11</v>
      </c>
      <c r="C71" s="263"/>
      <c r="D71" s="263"/>
      <c r="E71" s="263"/>
      <c r="F71" s="264"/>
      <c r="G71" s="182">
        <f>SUM(G69:G70)</f>
        <v>6</v>
      </c>
      <c r="H71" s="183" t="s">
        <v>151</v>
      </c>
      <c r="I71" s="182">
        <f>SUM(I69:I70)</f>
        <v>16800</v>
      </c>
      <c r="J71" s="182"/>
      <c r="K71" s="184">
        <f>SUM(K69:K70)</f>
        <v>31920</v>
      </c>
      <c r="L71" s="185"/>
      <c r="M71" s="185"/>
      <c r="N71" s="186"/>
    </row>
    <row r="72" spans="1:22" ht="18" customHeight="1">
      <c r="A72" s="201"/>
      <c r="B72" s="195"/>
      <c r="C72" s="196"/>
      <c r="D72" s="196"/>
      <c r="E72" s="195"/>
      <c r="F72" s="197" t="s">
        <v>153</v>
      </c>
      <c r="G72" s="198"/>
      <c r="H72" s="199" t="s">
        <v>154</v>
      </c>
      <c r="I72" s="195"/>
      <c r="J72" s="211"/>
      <c r="K72" s="179">
        <f>+I72*J72</f>
        <v>0</v>
      </c>
      <c r="L72" s="176">
        <f ca="1">$L$3-C72</f>
        <v>46270.550292708336</v>
      </c>
      <c r="M72" s="176">
        <f ca="1">$L$3-D72</f>
        <v>46270.550292708336</v>
      </c>
      <c r="N72" s="177"/>
    </row>
    <row r="73" spans="1:22" s="207" customFormat="1" ht="18" customHeight="1">
      <c r="B73" s="152"/>
      <c r="C73" s="153"/>
      <c r="D73" s="153"/>
      <c r="E73" s="152"/>
      <c r="F73" s="152"/>
      <c r="G73" s="152"/>
      <c r="H73" s="155"/>
      <c r="I73" s="152"/>
      <c r="J73" s="152"/>
      <c r="K73" s="152"/>
      <c r="L73" s="152"/>
      <c r="M73" s="152"/>
      <c r="N73" s="177"/>
      <c r="O73" s="140"/>
      <c r="P73" s="140"/>
      <c r="Q73" s="140"/>
      <c r="R73" s="140"/>
      <c r="S73" s="140"/>
      <c r="T73" s="140"/>
      <c r="U73" s="140"/>
      <c r="V73" s="140"/>
    </row>
    <row r="74" spans="1:22" s="187" customFormat="1" ht="18" customHeight="1">
      <c r="A74" s="208"/>
      <c r="B74" s="262" t="s">
        <v>11</v>
      </c>
      <c r="C74" s="263"/>
      <c r="D74" s="263"/>
      <c r="E74" s="263"/>
      <c r="F74" s="264"/>
      <c r="G74" s="182">
        <f>SUM(G72:G73)</f>
        <v>0</v>
      </c>
      <c r="H74" s="183" t="s">
        <v>153</v>
      </c>
      <c r="I74" s="182">
        <f>SUM(I72:I73)</f>
        <v>0</v>
      </c>
      <c r="J74" s="182"/>
      <c r="K74" s="184">
        <f>SUM(K72:K73)</f>
        <v>0</v>
      </c>
      <c r="L74" s="185"/>
      <c r="M74" s="185"/>
      <c r="N74" s="186"/>
    </row>
    <row r="75" spans="1:22" ht="18" customHeight="1">
      <c r="A75" s="201"/>
      <c r="B75" s="195">
        <v>1841</v>
      </c>
      <c r="C75" s="196">
        <v>46242</v>
      </c>
      <c r="D75" s="196">
        <v>46246</v>
      </c>
      <c r="E75" s="195">
        <v>49</v>
      </c>
      <c r="F75" s="197" t="s">
        <v>155</v>
      </c>
      <c r="G75" s="198">
        <v>63</v>
      </c>
      <c r="H75" s="199" t="s">
        <v>156</v>
      </c>
      <c r="I75" s="195">
        <v>80640</v>
      </c>
      <c r="J75" s="200">
        <v>3</v>
      </c>
      <c r="K75" s="179">
        <f>+I75*J75</f>
        <v>241920</v>
      </c>
      <c r="L75" s="176">
        <f ca="1">$L$3-C75</f>
        <v>28.550292708336201</v>
      </c>
      <c r="M75" s="176">
        <f ca="1">$L$3-D75</f>
        <v>24.550292708336201</v>
      </c>
      <c r="N75" s="177"/>
    </row>
    <row r="76" spans="1:22" s="207" customFormat="1" ht="18" customHeight="1">
      <c r="B76" s="152"/>
      <c r="C76" s="153"/>
      <c r="D76" s="153"/>
      <c r="E76" s="152"/>
      <c r="F76" s="152"/>
      <c r="G76" s="152"/>
      <c r="H76" s="155"/>
      <c r="I76" s="152"/>
      <c r="J76" s="152"/>
      <c r="K76" s="152"/>
      <c r="L76" s="152"/>
      <c r="M76" s="152"/>
      <c r="N76" s="177"/>
      <c r="O76" s="140"/>
      <c r="P76" s="140"/>
      <c r="Q76" s="140"/>
      <c r="R76" s="140"/>
      <c r="S76" s="140"/>
      <c r="T76" s="140"/>
      <c r="U76" s="140"/>
      <c r="V76" s="140"/>
    </row>
    <row r="77" spans="1:22" s="187" customFormat="1" ht="18" customHeight="1" thickBot="1">
      <c r="A77" s="208"/>
      <c r="B77" s="262" t="s">
        <v>11</v>
      </c>
      <c r="C77" s="263"/>
      <c r="D77" s="263"/>
      <c r="E77" s="263"/>
      <c r="F77" s="264"/>
      <c r="G77" s="182">
        <f>SUM(G75:G76)</f>
        <v>63</v>
      </c>
      <c r="H77" s="183" t="s">
        <v>155</v>
      </c>
      <c r="I77" s="182">
        <f>SUM(I75:I76)</f>
        <v>80640</v>
      </c>
      <c r="J77" s="182"/>
      <c r="K77" s="184">
        <f>SUM(K75:K76)</f>
        <v>241920</v>
      </c>
      <c r="L77" s="185"/>
      <c r="M77" s="185"/>
      <c r="N77" s="186"/>
    </row>
    <row r="78" spans="1:22" ht="18" customHeight="1" thickBot="1">
      <c r="A78" s="170"/>
      <c r="B78" s="164"/>
      <c r="C78" s="165"/>
      <c r="D78" s="166"/>
      <c r="E78" s="167" t="s">
        <v>157</v>
      </c>
      <c r="F78" s="168"/>
      <c r="G78" s="169"/>
      <c r="H78" s="165"/>
      <c r="I78" s="165"/>
      <c r="J78" s="165"/>
      <c r="K78" s="165"/>
      <c r="L78" s="166"/>
      <c r="M78" s="166"/>
      <c r="N78" s="165"/>
    </row>
    <row r="79" spans="1:22" ht="18" customHeight="1">
      <c r="A79" s="170"/>
      <c r="B79" s="212">
        <v>1334</v>
      </c>
      <c r="C79" s="213">
        <v>46207</v>
      </c>
      <c r="D79" s="213">
        <v>46210</v>
      </c>
      <c r="E79" s="212">
        <v>39</v>
      </c>
      <c r="F79" s="214" t="s">
        <v>158</v>
      </c>
      <c r="G79" s="215">
        <f>27-3-12-9</f>
        <v>3</v>
      </c>
      <c r="H79" s="216" t="s">
        <v>139</v>
      </c>
      <c r="I79" s="212">
        <f>105840-11760-47040-35280</f>
        <v>11760</v>
      </c>
      <c r="J79" s="217">
        <v>3.25</v>
      </c>
      <c r="K79" s="218">
        <f>+I79*J79</f>
        <v>38220</v>
      </c>
      <c r="L79" s="219">
        <f ca="1">$L$3-C79</f>
        <v>63.550292708336201</v>
      </c>
      <c r="M79" s="219">
        <f ca="1">$L$3-D79</f>
        <v>60.550292708336201</v>
      </c>
      <c r="N79" s="220" t="s">
        <v>159</v>
      </c>
    </row>
    <row r="80" spans="1:22" ht="18" customHeight="1">
      <c r="A80" s="201"/>
      <c r="B80" s="195">
        <v>1841</v>
      </c>
      <c r="C80" s="196">
        <v>46242</v>
      </c>
      <c r="D80" s="196">
        <v>46246</v>
      </c>
      <c r="E80" s="195">
        <v>49</v>
      </c>
      <c r="F80" s="197" t="s">
        <v>158</v>
      </c>
      <c r="G80" s="198">
        <f>33-9-12-9</f>
        <v>3</v>
      </c>
      <c r="H80" s="199" t="s">
        <v>139</v>
      </c>
      <c r="I80" s="195">
        <f>129360-35280-47040-35280</f>
        <v>11760</v>
      </c>
      <c r="J80" s="200">
        <v>3.25</v>
      </c>
      <c r="K80" s="179">
        <f>+I80*J80</f>
        <v>38220</v>
      </c>
      <c r="L80" s="176">
        <f ca="1">$L$3-C80</f>
        <v>28.550292708336201</v>
      </c>
      <c r="M80" s="176">
        <f ca="1">$L$3-D80</f>
        <v>24.550292708336201</v>
      </c>
      <c r="N80" s="177"/>
    </row>
    <row r="81" spans="1:22" s="207" customFormat="1" ht="18" customHeight="1">
      <c r="A81" s="206"/>
      <c r="B81" s="152"/>
      <c r="C81" s="153"/>
      <c r="D81" s="153"/>
      <c r="E81" s="153"/>
      <c r="F81" s="152"/>
      <c r="G81" s="152"/>
      <c r="H81" s="155"/>
      <c r="I81" s="152"/>
      <c r="J81" s="152"/>
      <c r="K81" s="152"/>
      <c r="L81" s="152"/>
      <c r="M81" s="152"/>
      <c r="N81" s="147"/>
      <c r="O81" s="140"/>
      <c r="P81" s="140"/>
      <c r="Q81" s="140"/>
      <c r="R81" s="140"/>
      <c r="S81" s="140"/>
      <c r="T81" s="140"/>
      <c r="U81" s="140"/>
      <c r="V81" s="140"/>
    </row>
    <row r="82" spans="1:22" s="187" customFormat="1" ht="18" customHeight="1">
      <c r="A82" s="208"/>
      <c r="B82" s="262" t="s">
        <v>11</v>
      </c>
      <c r="C82" s="263"/>
      <c r="D82" s="263"/>
      <c r="E82" s="263"/>
      <c r="F82" s="264"/>
      <c r="G82" s="182">
        <f>SUM(G79:G81)</f>
        <v>6</v>
      </c>
      <c r="H82" s="183" t="s">
        <v>158</v>
      </c>
      <c r="I82" s="182">
        <f>SUM(I79:I81)</f>
        <v>23520</v>
      </c>
      <c r="J82" s="182"/>
      <c r="K82" s="184">
        <f>SUM(K79:K81)</f>
        <v>76440</v>
      </c>
      <c r="L82" s="185"/>
      <c r="M82" s="185"/>
      <c r="N82" s="186"/>
    </row>
    <row r="83" spans="1:22" ht="18" customHeight="1">
      <c r="A83" s="170"/>
      <c r="B83" s="195">
        <v>1622</v>
      </c>
      <c r="C83" s="196">
        <v>46228</v>
      </c>
      <c r="D83" s="196">
        <v>46232</v>
      </c>
      <c r="E83" s="195">
        <v>47</v>
      </c>
      <c r="F83" s="197" t="s">
        <v>82</v>
      </c>
      <c r="G83" s="198">
        <f>87-3-24-18-21</f>
        <v>21</v>
      </c>
      <c r="H83" s="199" t="s">
        <v>83</v>
      </c>
      <c r="I83" s="195">
        <f>121800-4200-33600-25200-29400</f>
        <v>29400</v>
      </c>
      <c r="J83" s="200">
        <v>3</v>
      </c>
      <c r="K83" s="179">
        <f>+I83*J83</f>
        <v>88200</v>
      </c>
      <c r="L83" s="176">
        <f ca="1">$L$3-C83</f>
        <v>42.550292708336201</v>
      </c>
      <c r="M83" s="176">
        <f ca="1">$L$3-D83</f>
        <v>38.550292708336201</v>
      </c>
      <c r="N83" s="177"/>
    </row>
    <row r="84" spans="1:22" ht="18" customHeight="1">
      <c r="A84" s="170"/>
      <c r="B84" s="195">
        <v>2035</v>
      </c>
      <c r="C84" s="196">
        <v>46261</v>
      </c>
      <c r="D84" s="196">
        <v>46266</v>
      </c>
      <c r="E84" s="195">
        <v>55</v>
      </c>
      <c r="F84" s="197" t="s">
        <v>82</v>
      </c>
      <c r="G84" s="198">
        <f>I84/4200*3</f>
        <v>21</v>
      </c>
      <c r="H84" s="199" t="s">
        <v>83</v>
      </c>
      <c r="I84" s="195">
        <v>29400</v>
      </c>
      <c r="J84" s="200">
        <v>3</v>
      </c>
      <c r="K84" s="179">
        <f>+I84*J84</f>
        <v>88200</v>
      </c>
      <c r="L84" s="176">
        <f ca="1">$L$3-C84</f>
        <v>9.550292708336201</v>
      </c>
      <c r="M84" s="176">
        <f ca="1">$L$3-D84</f>
        <v>4.550292708336201</v>
      </c>
      <c r="N84" s="177"/>
    </row>
    <row r="85" spans="1:22" s="207" customFormat="1" ht="18" customHeight="1">
      <c r="A85" s="206"/>
      <c r="B85" s="152"/>
      <c r="C85" s="153"/>
      <c r="D85" s="221"/>
      <c r="E85" s="152"/>
      <c r="F85" s="152"/>
      <c r="G85" s="222"/>
      <c r="H85" s="223"/>
      <c r="I85" s="223"/>
      <c r="J85" s="223"/>
      <c r="K85" s="223"/>
      <c r="L85" s="223"/>
      <c r="M85" s="223"/>
      <c r="N85" s="147"/>
      <c r="O85" s="140"/>
      <c r="P85" s="140"/>
      <c r="Q85" s="140"/>
      <c r="R85" s="140"/>
      <c r="S85" s="140"/>
      <c r="T85" s="140"/>
      <c r="U85" s="140"/>
      <c r="V85" s="140"/>
    </row>
    <row r="86" spans="1:22" s="187" customFormat="1" ht="18" customHeight="1">
      <c r="A86" s="208"/>
      <c r="B86" s="262" t="s">
        <v>11</v>
      </c>
      <c r="C86" s="263"/>
      <c r="D86" s="263"/>
      <c r="E86" s="263"/>
      <c r="F86" s="264"/>
      <c r="G86" s="182">
        <f>SUM(G83:G85)</f>
        <v>42</v>
      </c>
      <c r="H86" s="183" t="s">
        <v>82</v>
      </c>
      <c r="I86" s="182">
        <f>SUM(I83:I85)</f>
        <v>58800</v>
      </c>
      <c r="J86" s="182"/>
      <c r="K86" s="184">
        <f>SUM(K83:K85)</f>
        <v>176400</v>
      </c>
      <c r="L86" s="185"/>
      <c r="M86" s="185"/>
      <c r="N86" s="186"/>
    </row>
    <row r="87" spans="1:22" ht="18" customHeight="1">
      <c r="A87" s="201"/>
      <c r="B87" s="195">
        <v>1841</v>
      </c>
      <c r="C87" s="196">
        <v>46242</v>
      </c>
      <c r="D87" s="196">
        <v>46246</v>
      </c>
      <c r="E87" s="195">
        <v>49</v>
      </c>
      <c r="F87" s="197" t="s">
        <v>160</v>
      </c>
      <c r="G87" s="198">
        <f>12-3</f>
        <v>9</v>
      </c>
      <c r="H87" s="199" t="s">
        <v>142</v>
      </c>
      <c r="I87" s="195">
        <f>31680-7920</f>
        <v>23760</v>
      </c>
      <c r="J87" s="200">
        <v>4.5199999999999996</v>
      </c>
      <c r="K87" s="179">
        <f>+I87*J87</f>
        <v>107395.2</v>
      </c>
      <c r="L87" s="176">
        <f t="shared" ref="L87:M87" ca="1" si="5">$L$3-C87</f>
        <v>28.550292708336201</v>
      </c>
      <c r="M87" s="176">
        <f t="shared" ca="1" si="5"/>
        <v>24.550292708336201</v>
      </c>
      <c r="N87" s="177"/>
    </row>
    <row r="88" spans="1:22" s="207" customFormat="1" ht="18" customHeight="1">
      <c r="A88" s="206"/>
      <c r="B88" s="152"/>
      <c r="C88" s="153"/>
      <c r="D88" s="153"/>
      <c r="E88" s="152"/>
      <c r="F88" s="152"/>
      <c r="G88" s="152"/>
      <c r="H88" s="155"/>
      <c r="I88" s="152"/>
      <c r="J88" s="152"/>
      <c r="K88" s="179"/>
      <c r="L88" s="179"/>
      <c r="M88" s="179"/>
      <c r="N88" s="177"/>
      <c r="O88" s="140"/>
      <c r="P88" s="140"/>
      <c r="Q88" s="140"/>
      <c r="R88" s="140"/>
      <c r="S88" s="140"/>
      <c r="T88" s="140"/>
      <c r="U88" s="140"/>
      <c r="V88" s="140"/>
    </row>
    <row r="89" spans="1:22" s="187" customFormat="1" ht="18" customHeight="1">
      <c r="A89" s="208"/>
      <c r="B89" s="262" t="s">
        <v>11</v>
      </c>
      <c r="C89" s="263"/>
      <c r="D89" s="263"/>
      <c r="E89" s="263"/>
      <c r="F89" s="264"/>
      <c r="G89" s="182">
        <f>SUM(G87:G88)</f>
        <v>9</v>
      </c>
      <c r="H89" s="183" t="s">
        <v>160</v>
      </c>
      <c r="I89" s="182">
        <f>SUM(I87:I88)</f>
        <v>23760</v>
      </c>
      <c r="J89" s="182"/>
      <c r="K89" s="184">
        <f>SUM(K87:K88)</f>
        <v>107395.2</v>
      </c>
      <c r="L89" s="185"/>
      <c r="M89" s="185"/>
      <c r="N89" s="186"/>
    </row>
    <row r="90" spans="1:22" ht="18" customHeight="1">
      <c r="A90" s="201"/>
      <c r="B90" s="195">
        <v>2035</v>
      </c>
      <c r="C90" s="196">
        <v>46261</v>
      </c>
      <c r="D90" s="196">
        <v>46266</v>
      </c>
      <c r="E90" s="195">
        <v>55</v>
      </c>
      <c r="F90" s="197" t="s">
        <v>74</v>
      </c>
      <c r="G90" s="198">
        <f>I90/2752*3</f>
        <v>174</v>
      </c>
      <c r="H90" s="199" t="s">
        <v>75</v>
      </c>
      <c r="I90" s="195">
        <v>159616</v>
      </c>
      <c r="J90" s="200">
        <v>6.08</v>
      </c>
      <c r="K90" s="179">
        <f>+I90*J90</f>
        <v>970465.28000000003</v>
      </c>
      <c r="L90" s="176">
        <f t="shared" ref="L90:M90" ca="1" si="6">$L$3-C90</f>
        <v>9.550292708336201</v>
      </c>
      <c r="M90" s="176">
        <f t="shared" ca="1" si="6"/>
        <v>4.550292708336201</v>
      </c>
      <c r="N90" s="177"/>
    </row>
    <row r="91" spans="1:22" s="207" customFormat="1" ht="18" customHeight="1">
      <c r="B91" s="152"/>
      <c r="C91" s="153"/>
      <c r="D91" s="153"/>
      <c r="E91" s="153"/>
      <c r="F91" s="152"/>
      <c r="G91" s="152"/>
      <c r="H91" s="155"/>
      <c r="I91" s="152"/>
      <c r="J91" s="152"/>
      <c r="K91" s="152"/>
      <c r="L91" s="152"/>
      <c r="M91" s="152"/>
      <c r="N91" s="147"/>
      <c r="O91" s="140"/>
      <c r="P91" s="140"/>
      <c r="Q91" s="140"/>
      <c r="R91" s="140"/>
      <c r="S91" s="140"/>
      <c r="T91" s="140"/>
      <c r="U91" s="140"/>
      <c r="V91" s="140"/>
    </row>
    <row r="92" spans="1:22" s="187" customFormat="1" ht="18" customHeight="1">
      <c r="A92" s="208"/>
      <c r="B92" s="262" t="s">
        <v>11</v>
      </c>
      <c r="C92" s="263"/>
      <c r="D92" s="263"/>
      <c r="E92" s="263"/>
      <c r="F92" s="264"/>
      <c r="G92" s="182">
        <f>SUM(G90:G91)</f>
        <v>174</v>
      </c>
      <c r="H92" s="183" t="s">
        <v>74</v>
      </c>
      <c r="I92" s="182">
        <f>SUM(I90:I91)</f>
        <v>159616</v>
      </c>
      <c r="J92" s="182"/>
      <c r="K92" s="184">
        <f>SUM(K90:K91)</f>
        <v>970465.28000000003</v>
      </c>
      <c r="L92" s="185"/>
      <c r="M92" s="185"/>
      <c r="N92" s="186"/>
    </row>
    <row r="93" spans="1:22" ht="18" customHeight="1">
      <c r="A93" s="201"/>
      <c r="B93" s="171">
        <v>305</v>
      </c>
      <c r="C93" s="172">
        <v>46136</v>
      </c>
      <c r="D93" s="172">
        <v>46142</v>
      </c>
      <c r="E93" s="171">
        <v>9</v>
      </c>
      <c r="F93" s="147" t="s">
        <v>161</v>
      </c>
      <c r="G93" s="173">
        <f>51-6-18-9</f>
        <v>18</v>
      </c>
      <c r="H93" s="174" t="s">
        <v>162</v>
      </c>
      <c r="I93" s="171">
        <f>94860-11160-33480-16740</f>
        <v>33480</v>
      </c>
      <c r="J93" s="148">
        <v>2.75</v>
      </c>
      <c r="K93" s="179">
        <f>+I93*J93</f>
        <v>92070</v>
      </c>
      <c r="L93" s="176">
        <f ca="1">$L$3-C93</f>
        <v>134.5502927083362</v>
      </c>
      <c r="M93" s="176">
        <f ca="1">$L$3-D93</f>
        <v>128.5502927083362</v>
      </c>
      <c r="N93" s="177"/>
    </row>
    <row r="94" spans="1:22" s="207" customFormat="1" ht="18" customHeight="1">
      <c r="B94" s="152"/>
      <c r="C94" s="153"/>
      <c r="D94" s="153"/>
      <c r="E94" s="152"/>
      <c r="F94" s="152"/>
      <c r="G94" s="152"/>
      <c r="H94" s="155"/>
      <c r="I94" s="152"/>
      <c r="J94" s="152"/>
      <c r="K94" s="152"/>
      <c r="L94" s="152"/>
      <c r="M94" s="152"/>
      <c r="N94" s="177"/>
      <c r="O94" s="140"/>
      <c r="P94" s="140"/>
      <c r="Q94" s="140"/>
      <c r="R94" s="140"/>
      <c r="S94" s="140"/>
      <c r="T94" s="140"/>
      <c r="U94" s="140"/>
      <c r="V94" s="140"/>
    </row>
    <row r="95" spans="1:22" s="187" customFormat="1" ht="18" customHeight="1">
      <c r="A95" s="208"/>
      <c r="B95" s="262" t="s">
        <v>11</v>
      </c>
      <c r="C95" s="263"/>
      <c r="D95" s="263"/>
      <c r="E95" s="263"/>
      <c r="F95" s="264"/>
      <c r="G95" s="182">
        <f>SUM(G93:G94)</f>
        <v>18</v>
      </c>
      <c r="H95" s="183" t="s">
        <v>161</v>
      </c>
      <c r="I95" s="182">
        <f>SUM(I93:I94)</f>
        <v>33480</v>
      </c>
      <c r="J95" s="182"/>
      <c r="K95" s="184">
        <f>SUM(K93:K94)</f>
        <v>92070</v>
      </c>
      <c r="L95" s="185"/>
      <c r="M95" s="185"/>
      <c r="N95" s="186"/>
    </row>
    <row r="96" spans="1:22" ht="18" customHeight="1">
      <c r="A96" s="170"/>
      <c r="B96" s="164"/>
      <c r="C96" s="165"/>
      <c r="D96" s="165"/>
      <c r="E96" s="224" t="s">
        <v>163</v>
      </c>
      <c r="F96" s="225"/>
      <c r="G96" s="226"/>
      <c r="H96" s="165"/>
      <c r="I96" s="165"/>
      <c r="J96" s="165"/>
      <c r="K96" s="165"/>
      <c r="L96" s="166"/>
      <c r="M96" s="166"/>
      <c r="N96" s="165"/>
    </row>
    <row r="97" spans="1:22" ht="18" customHeight="1">
      <c r="A97" s="201"/>
      <c r="B97" s="195">
        <v>1843</v>
      </c>
      <c r="C97" s="196">
        <v>46242</v>
      </c>
      <c r="D97" s="196">
        <v>46246</v>
      </c>
      <c r="E97" s="195">
        <v>51</v>
      </c>
      <c r="F97" s="197" t="s">
        <v>91</v>
      </c>
      <c r="G97" s="198">
        <f>15-1</f>
        <v>14</v>
      </c>
      <c r="H97" s="199" t="s">
        <v>164</v>
      </c>
      <c r="I97" s="195">
        <f>360000-24000</f>
        <v>336000</v>
      </c>
      <c r="J97" s="200">
        <v>0.48</v>
      </c>
      <c r="K97" s="179">
        <f>+I97*J97</f>
        <v>161280</v>
      </c>
      <c r="L97" s="176">
        <f ca="1">$L$3-C97</f>
        <v>28.550292708336201</v>
      </c>
      <c r="M97" s="176">
        <f ca="1">$L$3-D97</f>
        <v>24.550292708336201</v>
      </c>
      <c r="N97" s="177"/>
    </row>
    <row r="98" spans="1:22" ht="18" customHeight="1">
      <c r="A98" s="201"/>
      <c r="B98" s="195">
        <v>2036</v>
      </c>
      <c r="C98" s="196">
        <v>46261</v>
      </c>
      <c r="D98" s="196">
        <v>46266</v>
      </c>
      <c r="E98" s="195">
        <v>56</v>
      </c>
      <c r="F98" s="197" t="s">
        <v>91</v>
      </c>
      <c r="G98" s="198">
        <v>6</v>
      </c>
      <c r="H98" s="199" t="s">
        <v>103</v>
      </c>
      <c r="I98" s="195">
        <f>6*24000</f>
        <v>144000</v>
      </c>
      <c r="J98" s="200">
        <v>0.48</v>
      </c>
      <c r="K98" s="179">
        <f>+I98*J98</f>
        <v>69120</v>
      </c>
      <c r="L98" s="176">
        <f ca="1">$L$3-C98</f>
        <v>9.550292708336201</v>
      </c>
      <c r="M98" s="176">
        <f ca="1">$L$3-D98</f>
        <v>4.550292708336201</v>
      </c>
      <c r="N98" s="177"/>
    </row>
    <row r="99" spans="1:22" s="207" customFormat="1" ht="18" customHeight="1">
      <c r="A99" s="206"/>
      <c r="B99" s="152"/>
      <c r="C99" s="153"/>
      <c r="D99" s="153"/>
      <c r="E99" s="153"/>
      <c r="F99" s="152"/>
      <c r="G99" s="152"/>
      <c r="H99" s="155"/>
      <c r="I99" s="152"/>
      <c r="J99" s="152"/>
      <c r="K99" s="152"/>
      <c r="L99" s="152"/>
      <c r="M99" s="152"/>
      <c r="N99" s="147"/>
      <c r="O99" s="140"/>
      <c r="P99" s="140"/>
      <c r="Q99" s="140"/>
      <c r="R99" s="140"/>
      <c r="S99" s="140"/>
      <c r="T99" s="140"/>
      <c r="U99" s="140"/>
      <c r="V99" s="140"/>
    </row>
    <row r="100" spans="1:22" s="187" customFormat="1" ht="18" customHeight="1">
      <c r="A100" s="208"/>
      <c r="B100" s="262" t="s">
        <v>11</v>
      </c>
      <c r="C100" s="263"/>
      <c r="D100" s="263"/>
      <c r="E100" s="263"/>
      <c r="F100" s="264"/>
      <c r="G100" s="182">
        <f>SUM(G97:G99)</f>
        <v>20</v>
      </c>
      <c r="H100" s="183" t="s">
        <v>91</v>
      </c>
      <c r="I100" s="182">
        <f>SUM(I97:I99)</f>
        <v>480000</v>
      </c>
      <c r="J100" s="182"/>
      <c r="K100" s="184">
        <f>SUM(K97:K99)</f>
        <v>230400</v>
      </c>
      <c r="L100" s="185"/>
      <c r="M100" s="185"/>
      <c r="N100" s="186"/>
    </row>
    <row r="101" spans="1:22" ht="18" customHeight="1">
      <c r="A101" s="201"/>
      <c r="B101" s="171">
        <v>365</v>
      </c>
      <c r="C101" s="172">
        <v>46140</v>
      </c>
      <c r="D101" s="172">
        <v>46144</v>
      </c>
      <c r="E101" s="171">
        <v>12</v>
      </c>
      <c r="F101" s="147" t="s">
        <v>165</v>
      </c>
      <c r="G101" s="173">
        <f>41-4-3-4-8-3-8-5</f>
        <v>6</v>
      </c>
      <c r="H101" s="174" t="s">
        <v>256</v>
      </c>
      <c r="I101" s="171">
        <f>516600-50400-37800-50400-100800-37800-100800-63000</f>
        <v>75600</v>
      </c>
      <c r="J101" s="148">
        <v>0.49</v>
      </c>
      <c r="K101" s="179">
        <f>+I101*J101</f>
        <v>37044</v>
      </c>
      <c r="L101" s="176">
        <f ca="1">$L$3-C101</f>
        <v>130.5502927083362</v>
      </c>
      <c r="M101" s="176">
        <f ca="1">$L$3-D101</f>
        <v>126.5502927083362</v>
      </c>
      <c r="N101" s="177"/>
    </row>
    <row r="102" spans="1:22" s="207" customFormat="1" ht="18" customHeight="1">
      <c r="B102" s="152"/>
      <c r="C102" s="153"/>
      <c r="D102" s="153"/>
      <c r="E102" s="153"/>
      <c r="F102" s="152"/>
      <c r="G102" s="152"/>
      <c r="H102" s="155"/>
      <c r="I102" s="152"/>
      <c r="J102" s="152"/>
      <c r="K102" s="152"/>
      <c r="L102" s="152"/>
      <c r="M102" s="152"/>
      <c r="N102" s="147"/>
      <c r="O102" s="140"/>
      <c r="P102" s="140"/>
      <c r="Q102" s="140"/>
      <c r="R102" s="140"/>
      <c r="S102" s="140"/>
      <c r="T102" s="140"/>
      <c r="U102" s="140"/>
      <c r="V102" s="140"/>
    </row>
    <row r="103" spans="1:22" s="187" customFormat="1" ht="18" customHeight="1">
      <c r="A103" s="208"/>
      <c r="B103" s="262" t="s">
        <v>11</v>
      </c>
      <c r="C103" s="263"/>
      <c r="D103" s="263"/>
      <c r="E103" s="263"/>
      <c r="F103" s="264"/>
      <c r="G103" s="182">
        <f>SUM(G101:G102)</f>
        <v>6</v>
      </c>
      <c r="H103" s="183" t="s">
        <v>165</v>
      </c>
      <c r="I103" s="182">
        <f>SUM(I101:I102)</f>
        <v>75600</v>
      </c>
      <c r="J103" s="182"/>
      <c r="K103" s="184">
        <f>SUM(K101:K102)</f>
        <v>37044</v>
      </c>
      <c r="L103" s="185"/>
      <c r="M103" s="185"/>
      <c r="N103" s="186"/>
    </row>
    <row r="104" spans="1:22" ht="18" customHeight="1">
      <c r="A104" s="201"/>
      <c r="B104" s="195"/>
      <c r="C104" s="196"/>
      <c r="D104" s="196"/>
      <c r="E104" s="195"/>
      <c r="F104" s="197" t="s">
        <v>87</v>
      </c>
      <c r="G104" s="198"/>
      <c r="H104" s="199"/>
      <c r="I104" s="195"/>
      <c r="J104" s="200"/>
      <c r="K104" s="179">
        <f>+I104*J104</f>
        <v>0</v>
      </c>
      <c r="L104" s="176">
        <f ca="1">$L$3-C104</f>
        <v>46270.550292708336</v>
      </c>
      <c r="M104" s="176">
        <f ca="1">$L$3-D104</f>
        <v>46270.550292708336</v>
      </c>
      <c r="N104" s="177"/>
    </row>
    <row r="105" spans="1:22" s="207" customFormat="1" ht="18" customHeight="1">
      <c r="B105" s="152"/>
      <c r="C105" s="153"/>
      <c r="D105" s="153"/>
      <c r="E105" s="153"/>
      <c r="F105" s="152"/>
      <c r="G105" s="152"/>
      <c r="H105" s="155"/>
      <c r="I105" s="152"/>
      <c r="J105" s="152"/>
      <c r="K105" s="152"/>
      <c r="L105" s="152"/>
      <c r="M105" s="152"/>
      <c r="N105" s="147"/>
      <c r="O105" s="140"/>
      <c r="P105" s="140"/>
      <c r="Q105" s="140"/>
      <c r="R105" s="140"/>
      <c r="S105" s="140"/>
      <c r="T105" s="140"/>
      <c r="U105" s="140"/>
      <c r="V105" s="140"/>
    </row>
    <row r="106" spans="1:22" s="187" customFormat="1" ht="18" customHeight="1">
      <c r="A106" s="208"/>
      <c r="B106" s="262" t="s">
        <v>11</v>
      </c>
      <c r="C106" s="263"/>
      <c r="D106" s="263"/>
      <c r="E106" s="263"/>
      <c r="F106" s="264"/>
      <c r="G106" s="182">
        <f>SUM(G104:G105)</f>
        <v>0</v>
      </c>
      <c r="H106" s="183" t="s">
        <v>87</v>
      </c>
      <c r="I106" s="182">
        <f>SUM(I104:I105)</f>
        <v>0</v>
      </c>
      <c r="J106" s="182"/>
      <c r="K106" s="184">
        <f>SUM(K104:K105)</f>
        <v>0</v>
      </c>
      <c r="L106" s="185"/>
      <c r="M106" s="185"/>
      <c r="N106" s="186"/>
    </row>
    <row r="107" spans="1:22" ht="18" customHeight="1">
      <c r="A107" s="170"/>
      <c r="B107" s="195">
        <v>1623</v>
      </c>
      <c r="C107" s="196">
        <v>46228</v>
      </c>
      <c r="D107" s="196">
        <v>46232</v>
      </c>
      <c r="E107" s="195">
        <v>48</v>
      </c>
      <c r="F107" s="197" t="s">
        <v>92</v>
      </c>
      <c r="G107" s="198">
        <f>17-8</f>
        <v>9</v>
      </c>
      <c r="H107" s="199" t="s">
        <v>166</v>
      </c>
      <c r="I107" s="195">
        <f>102000-48000</f>
        <v>54000</v>
      </c>
      <c r="J107" s="200">
        <v>0.82</v>
      </c>
      <c r="K107" s="179">
        <f>+I107*J107</f>
        <v>44280</v>
      </c>
      <c r="L107" s="176">
        <f ca="1">$L$3-C107</f>
        <v>42.550292708336201</v>
      </c>
      <c r="M107" s="176">
        <f ca="1">$L$3-D107</f>
        <v>38.550292708336201</v>
      </c>
      <c r="N107" s="177"/>
    </row>
    <row r="108" spans="1:22" ht="18" customHeight="1">
      <c r="A108" s="170"/>
      <c r="B108" s="195">
        <v>2036</v>
      </c>
      <c r="C108" s="196">
        <v>46261</v>
      </c>
      <c r="D108" s="196">
        <v>46266</v>
      </c>
      <c r="E108" s="195">
        <v>56</v>
      </c>
      <c r="F108" s="197" t="s">
        <v>92</v>
      </c>
      <c r="G108" s="198">
        <v>12</v>
      </c>
      <c r="H108" s="199" t="s">
        <v>104</v>
      </c>
      <c r="I108" s="195">
        <f>12*6000</f>
        <v>72000</v>
      </c>
      <c r="J108" s="200">
        <v>0.82</v>
      </c>
      <c r="K108" s="179">
        <f>+I108*J108</f>
        <v>59040</v>
      </c>
      <c r="L108" s="176">
        <f ca="1">$L$3-C108</f>
        <v>9.550292708336201</v>
      </c>
      <c r="M108" s="176">
        <f ca="1">$L$3-D108</f>
        <v>4.550292708336201</v>
      </c>
      <c r="N108" s="177"/>
    </row>
    <row r="109" spans="1:22" s="207" customFormat="1" ht="18" customHeight="1">
      <c r="A109" s="206"/>
      <c r="B109" s="152"/>
      <c r="C109" s="153"/>
      <c r="D109" s="153"/>
      <c r="E109" s="153"/>
      <c r="F109" s="152"/>
      <c r="G109" s="152"/>
      <c r="H109" s="155"/>
      <c r="I109" s="152"/>
      <c r="J109" s="152"/>
      <c r="K109" s="152"/>
      <c r="L109" s="152"/>
      <c r="M109" s="152"/>
      <c r="N109" s="147"/>
      <c r="O109" s="140"/>
      <c r="P109" s="140"/>
      <c r="Q109" s="140"/>
      <c r="R109" s="140"/>
      <c r="S109" s="140"/>
      <c r="T109" s="140"/>
      <c r="U109" s="140"/>
      <c r="V109" s="140"/>
    </row>
    <row r="110" spans="1:22" s="187" customFormat="1" ht="18" customHeight="1">
      <c r="A110" s="208"/>
      <c r="B110" s="262" t="s">
        <v>11</v>
      </c>
      <c r="C110" s="263"/>
      <c r="D110" s="263"/>
      <c r="E110" s="263"/>
      <c r="F110" s="264"/>
      <c r="G110" s="182">
        <f>SUM(G107:G109)</f>
        <v>21</v>
      </c>
      <c r="H110" s="183" t="s">
        <v>92</v>
      </c>
      <c r="I110" s="182">
        <f>SUM(I107:I109)</f>
        <v>126000</v>
      </c>
      <c r="J110" s="182"/>
      <c r="K110" s="184">
        <f>SUM(K107:K109)</f>
        <v>103320</v>
      </c>
      <c r="L110" s="185"/>
      <c r="M110" s="185"/>
      <c r="N110" s="186"/>
    </row>
    <row r="111" spans="1:22" ht="18" customHeight="1">
      <c r="A111" s="201"/>
      <c r="B111" s="195">
        <v>1843</v>
      </c>
      <c r="C111" s="196">
        <v>46242</v>
      </c>
      <c r="D111" s="196">
        <v>46246</v>
      </c>
      <c r="E111" s="195">
        <v>51</v>
      </c>
      <c r="F111" s="197" t="s">
        <v>94</v>
      </c>
      <c r="G111" s="198">
        <f>20-2</f>
        <v>18</v>
      </c>
      <c r="H111" s="199" t="s">
        <v>167</v>
      </c>
      <c r="I111" s="195">
        <f>100000-10000</f>
        <v>90000</v>
      </c>
      <c r="J111" s="200">
        <v>0.95</v>
      </c>
      <c r="K111" s="179">
        <f>+I111*J111</f>
        <v>85500</v>
      </c>
      <c r="L111" s="176">
        <f ca="1">$L$3-C111</f>
        <v>28.550292708336201</v>
      </c>
      <c r="M111" s="176">
        <f ca="1">$L$3-D111</f>
        <v>24.550292708336201</v>
      </c>
      <c r="N111" s="177"/>
    </row>
    <row r="112" spans="1:22" ht="18" customHeight="1">
      <c r="A112" s="201"/>
      <c r="B112" s="195">
        <v>2036</v>
      </c>
      <c r="C112" s="196">
        <v>46261</v>
      </c>
      <c r="D112" s="196">
        <v>46266</v>
      </c>
      <c r="E112" s="195">
        <v>56</v>
      </c>
      <c r="F112" s="197" t="s">
        <v>94</v>
      </c>
      <c r="G112" s="198">
        <v>21</v>
      </c>
      <c r="H112" s="199" t="s">
        <v>105</v>
      </c>
      <c r="I112" s="195">
        <f>21*5000</f>
        <v>105000</v>
      </c>
      <c r="J112" s="200">
        <v>0.95</v>
      </c>
      <c r="K112" s="179">
        <f>+I112*J112</f>
        <v>99750</v>
      </c>
      <c r="L112" s="176">
        <f ca="1">$L$3-C112</f>
        <v>9.550292708336201</v>
      </c>
      <c r="M112" s="176">
        <f ca="1">$L$3-D112</f>
        <v>4.550292708336201</v>
      </c>
      <c r="N112" s="177"/>
    </row>
    <row r="113" spans="1:22" s="207" customFormat="1" ht="18" customHeight="1">
      <c r="A113" s="206"/>
      <c r="B113" s="152"/>
      <c r="C113" s="153"/>
      <c r="D113" s="153"/>
      <c r="E113" s="153"/>
      <c r="F113" s="152"/>
      <c r="G113" s="152"/>
      <c r="H113" s="155"/>
      <c r="I113" s="152"/>
      <c r="J113" s="152"/>
      <c r="K113" s="152"/>
      <c r="L113" s="152"/>
      <c r="M113" s="152"/>
      <c r="N113" s="147"/>
      <c r="O113" s="140"/>
      <c r="P113" s="140"/>
      <c r="Q113" s="140"/>
      <c r="R113" s="140"/>
      <c r="S113" s="140"/>
      <c r="T113" s="140"/>
      <c r="U113" s="140"/>
      <c r="V113" s="140"/>
    </row>
    <row r="114" spans="1:22" s="187" customFormat="1" ht="18" customHeight="1">
      <c r="A114" s="208"/>
      <c r="B114" s="262" t="s">
        <v>11</v>
      </c>
      <c r="C114" s="263"/>
      <c r="D114" s="263"/>
      <c r="E114" s="263"/>
      <c r="F114" s="264"/>
      <c r="G114" s="182">
        <f>SUM(G111:G113)</f>
        <v>39</v>
      </c>
      <c r="H114" s="183" t="s">
        <v>94</v>
      </c>
      <c r="I114" s="182">
        <f>SUM(I111:I113)</f>
        <v>195000</v>
      </c>
      <c r="J114" s="182"/>
      <c r="K114" s="184">
        <f>SUM(K111:K113)</f>
        <v>185250</v>
      </c>
      <c r="L114" s="185"/>
      <c r="M114" s="185"/>
      <c r="N114" s="186"/>
    </row>
    <row r="115" spans="1:22" ht="18" customHeight="1">
      <c r="A115" s="201"/>
      <c r="B115" s="195">
        <v>2036</v>
      </c>
      <c r="C115" s="196">
        <v>46261</v>
      </c>
      <c r="D115" s="196">
        <v>46266</v>
      </c>
      <c r="E115" s="195">
        <v>56</v>
      </c>
      <c r="F115" s="197" t="s">
        <v>88</v>
      </c>
      <c r="G115" s="198">
        <v>41</v>
      </c>
      <c r="H115" s="199" t="s">
        <v>102</v>
      </c>
      <c r="I115" s="195">
        <f>41*19250</f>
        <v>789250</v>
      </c>
      <c r="J115" s="200">
        <v>0.49</v>
      </c>
      <c r="K115" s="179">
        <f>+I115*J115</f>
        <v>386732.5</v>
      </c>
      <c r="L115" s="176">
        <f ca="1">$L$3-C115</f>
        <v>9.550292708336201</v>
      </c>
      <c r="M115" s="176">
        <f ca="1">$L$3-D115</f>
        <v>4.550292708336201</v>
      </c>
      <c r="N115" s="177"/>
    </row>
    <row r="116" spans="1:22" s="207" customFormat="1" ht="18" customHeight="1">
      <c r="A116" s="206"/>
      <c r="B116" s="152"/>
      <c r="C116" s="153"/>
      <c r="D116" s="153"/>
      <c r="E116" s="153"/>
      <c r="F116" s="152"/>
      <c r="G116" s="152"/>
      <c r="H116" s="155"/>
      <c r="I116" s="152"/>
      <c r="J116" s="152"/>
      <c r="K116" s="152"/>
      <c r="L116" s="152"/>
      <c r="M116" s="152"/>
      <c r="N116" s="147"/>
      <c r="O116" s="140"/>
      <c r="P116" s="140"/>
      <c r="Q116" s="140"/>
      <c r="R116" s="140"/>
      <c r="S116" s="140"/>
      <c r="T116" s="140"/>
      <c r="U116" s="140"/>
      <c r="V116" s="140"/>
    </row>
    <row r="117" spans="1:22" s="187" customFormat="1" ht="18" customHeight="1">
      <c r="A117" s="208"/>
      <c r="B117" s="262" t="s">
        <v>11</v>
      </c>
      <c r="C117" s="263"/>
      <c r="D117" s="263"/>
      <c r="E117" s="263"/>
      <c r="F117" s="264"/>
      <c r="G117" s="182">
        <f>SUM(G115:G116)</f>
        <v>41</v>
      </c>
      <c r="H117" s="183" t="s">
        <v>88</v>
      </c>
      <c r="I117" s="182">
        <f>SUM(I115:I116)</f>
        <v>789250</v>
      </c>
      <c r="J117" s="182"/>
      <c r="K117" s="184">
        <f>SUM(K115:K116)</f>
        <v>386732.5</v>
      </c>
      <c r="L117" s="185"/>
      <c r="M117" s="185"/>
      <c r="N117" s="186"/>
    </row>
    <row r="118" spans="1:22" ht="18" customHeight="1">
      <c r="A118" s="170"/>
      <c r="B118" s="195">
        <v>1623</v>
      </c>
      <c r="C118" s="196">
        <v>46228</v>
      </c>
      <c r="D118" s="196">
        <v>46232</v>
      </c>
      <c r="E118" s="195">
        <v>48</v>
      </c>
      <c r="F118" s="197" t="s">
        <v>89</v>
      </c>
      <c r="G118" s="198">
        <f>32-2-2-5-4</f>
        <v>19</v>
      </c>
      <c r="H118" s="199" t="s">
        <v>168</v>
      </c>
      <c r="I118" s="195">
        <f>504000-31500-31500-78750-63000</f>
        <v>299250</v>
      </c>
      <c r="J118" s="200">
        <v>0.52</v>
      </c>
      <c r="K118" s="179">
        <f>+I118*J118</f>
        <v>155610</v>
      </c>
      <c r="L118" s="176">
        <f ca="1">$L$3-C118</f>
        <v>42.550292708336201</v>
      </c>
      <c r="M118" s="176">
        <f ca="1">$L$3-D118</f>
        <v>38.550292708336201</v>
      </c>
      <c r="N118" s="177"/>
    </row>
    <row r="119" spans="1:22" ht="18" customHeight="1">
      <c r="A119" s="170"/>
      <c r="B119" s="195">
        <v>2036</v>
      </c>
      <c r="C119" s="196">
        <v>46261</v>
      </c>
      <c r="D119" s="196">
        <v>46266</v>
      </c>
      <c r="E119" s="195">
        <v>56</v>
      </c>
      <c r="F119" s="197" t="s">
        <v>89</v>
      </c>
      <c r="G119" s="198">
        <v>6</v>
      </c>
      <c r="H119" s="199" t="s">
        <v>90</v>
      </c>
      <c r="I119" s="195">
        <f>6*15750</f>
        <v>94500</v>
      </c>
      <c r="J119" s="200">
        <v>0.52</v>
      </c>
      <c r="K119" s="179">
        <f>+I119*J119</f>
        <v>49140</v>
      </c>
      <c r="L119" s="176">
        <f ca="1">$L$3-C119</f>
        <v>9.550292708336201</v>
      </c>
      <c r="M119" s="176">
        <f ca="1">$L$3-D119</f>
        <v>4.550292708336201</v>
      </c>
      <c r="N119" s="177"/>
    </row>
    <row r="120" spans="1:22" s="207" customFormat="1" ht="18" customHeight="1">
      <c r="A120" s="206"/>
      <c r="B120" s="152"/>
      <c r="C120" s="153"/>
      <c r="D120" s="153"/>
      <c r="E120" s="153"/>
      <c r="F120" s="152"/>
      <c r="G120" s="152"/>
      <c r="H120" s="155"/>
      <c r="I120" s="152"/>
      <c r="J120" s="152"/>
      <c r="K120" s="152"/>
      <c r="L120" s="152"/>
      <c r="M120" s="152"/>
      <c r="N120" s="147"/>
      <c r="O120" s="140"/>
      <c r="P120" s="140"/>
      <c r="Q120" s="140"/>
      <c r="R120" s="140"/>
      <c r="S120" s="140"/>
      <c r="T120" s="140"/>
      <c r="U120" s="140"/>
      <c r="V120" s="140"/>
    </row>
    <row r="121" spans="1:22" s="187" customFormat="1" ht="18" customHeight="1">
      <c r="A121" s="208"/>
      <c r="B121" s="262" t="s">
        <v>11</v>
      </c>
      <c r="C121" s="263"/>
      <c r="D121" s="263"/>
      <c r="E121" s="263"/>
      <c r="F121" s="264"/>
      <c r="G121" s="182">
        <f>SUM(G118:G120)</f>
        <v>25</v>
      </c>
      <c r="H121" s="183" t="s">
        <v>89</v>
      </c>
      <c r="I121" s="182">
        <f>SUM(I118:I120)</f>
        <v>393750</v>
      </c>
      <c r="J121" s="182"/>
      <c r="K121" s="184">
        <f>SUM(K118:K120)</f>
        <v>204750</v>
      </c>
      <c r="L121" s="185"/>
      <c r="M121" s="185"/>
      <c r="N121" s="186"/>
    </row>
    <row r="122" spans="1:22" ht="18" customHeight="1">
      <c r="A122" s="170"/>
      <c r="B122" s="171">
        <v>1338</v>
      </c>
      <c r="C122" s="172">
        <v>46207</v>
      </c>
      <c r="D122" s="172">
        <v>46210</v>
      </c>
      <c r="E122" s="171">
        <v>42</v>
      </c>
      <c r="F122" s="147" t="s">
        <v>99</v>
      </c>
      <c r="G122" s="173">
        <f>24-3-7-8</f>
        <v>6</v>
      </c>
      <c r="H122" s="174" t="s">
        <v>169</v>
      </c>
      <c r="I122" s="171">
        <f>252000-31500-73500-84000</f>
        <v>63000</v>
      </c>
      <c r="J122" s="148">
        <v>0.56999999999999995</v>
      </c>
      <c r="K122" s="179">
        <f>+I122*J122</f>
        <v>35910</v>
      </c>
      <c r="L122" s="176">
        <f ca="1">$L$3-C122</f>
        <v>63.550292708336201</v>
      </c>
      <c r="M122" s="176">
        <f ca="1">$L$3-D122</f>
        <v>60.550292708336201</v>
      </c>
      <c r="N122" s="177"/>
    </row>
    <row r="123" spans="1:22" ht="18" customHeight="1">
      <c r="A123" s="170"/>
      <c r="B123" s="195">
        <v>2036</v>
      </c>
      <c r="C123" s="196">
        <v>46261</v>
      </c>
      <c r="D123" s="196">
        <v>46266</v>
      </c>
      <c r="E123" s="195">
        <v>56</v>
      </c>
      <c r="F123" s="197" t="s">
        <v>99</v>
      </c>
      <c r="G123" s="198">
        <v>67</v>
      </c>
      <c r="H123" s="199" t="s">
        <v>109</v>
      </c>
      <c r="I123" s="195">
        <f>67*10500</f>
        <v>703500</v>
      </c>
      <c r="J123" s="200">
        <v>0.56999999999999995</v>
      </c>
      <c r="K123" s="179">
        <f>+I123*J123</f>
        <v>400994.99999999994</v>
      </c>
      <c r="L123" s="176">
        <f ca="1">$L$3-C123</f>
        <v>9.550292708336201</v>
      </c>
      <c r="M123" s="176">
        <f ca="1">$L$3-D123</f>
        <v>4.550292708336201</v>
      </c>
      <c r="N123" s="177"/>
    </row>
    <row r="124" spans="1:22" s="207" customFormat="1" ht="18" customHeight="1">
      <c r="A124" s="206"/>
      <c r="B124" s="152"/>
      <c r="C124" s="153"/>
      <c r="D124" s="153"/>
      <c r="E124" s="153"/>
      <c r="F124" s="152"/>
      <c r="G124" s="152"/>
      <c r="H124" s="155"/>
      <c r="I124" s="152"/>
      <c r="J124" s="152"/>
      <c r="K124" s="152"/>
      <c r="L124" s="152"/>
      <c r="M124" s="152"/>
      <c r="N124" s="147"/>
      <c r="O124" s="140"/>
      <c r="P124" s="140"/>
      <c r="Q124" s="140"/>
      <c r="R124" s="140"/>
      <c r="S124" s="140"/>
      <c r="T124" s="140"/>
      <c r="U124" s="140"/>
      <c r="V124" s="140"/>
    </row>
    <row r="125" spans="1:22" s="187" customFormat="1" ht="18" customHeight="1">
      <c r="A125" s="208"/>
      <c r="B125" s="262" t="s">
        <v>11</v>
      </c>
      <c r="C125" s="263"/>
      <c r="D125" s="263"/>
      <c r="E125" s="263"/>
      <c r="F125" s="264"/>
      <c r="G125" s="182">
        <f>SUM(G122:G124)</f>
        <v>73</v>
      </c>
      <c r="H125" s="183" t="s">
        <v>99</v>
      </c>
      <c r="I125" s="182">
        <f>SUM(I122:I124)</f>
        <v>766500</v>
      </c>
      <c r="J125" s="182"/>
      <c r="K125" s="184">
        <f>SUM(K122:K124)</f>
        <v>436904.99999999994</v>
      </c>
      <c r="L125" s="185"/>
      <c r="M125" s="185"/>
      <c r="N125" s="186"/>
    </row>
    <row r="126" spans="1:22" ht="18" customHeight="1">
      <c r="A126" s="201"/>
      <c r="B126" s="195">
        <v>1842</v>
      </c>
      <c r="C126" s="196">
        <v>46242</v>
      </c>
      <c r="D126" s="196">
        <v>46246</v>
      </c>
      <c r="E126" s="195">
        <v>50</v>
      </c>
      <c r="F126" s="197" t="s">
        <v>118</v>
      </c>
      <c r="G126" s="198">
        <f>87-10-13-5</f>
        <v>59</v>
      </c>
      <c r="H126" s="199" t="s">
        <v>170</v>
      </c>
      <c r="I126" s="195">
        <f>652500-75000-97500-37500</f>
        <v>442500</v>
      </c>
      <c r="J126" s="200">
        <v>0.64</v>
      </c>
      <c r="K126" s="179">
        <f>+I126*J126</f>
        <v>283200</v>
      </c>
      <c r="L126" s="176">
        <f ca="1">$L$3-C126</f>
        <v>28.550292708336201</v>
      </c>
      <c r="M126" s="176">
        <f ca="1">$L$3-D126</f>
        <v>24.550292708336201</v>
      </c>
      <c r="N126" s="177"/>
    </row>
    <row r="127" spans="1:22" s="207" customFormat="1" ht="18" customHeight="1">
      <c r="A127" s="206"/>
      <c r="B127" s="152"/>
      <c r="C127" s="153"/>
      <c r="D127" s="153"/>
      <c r="E127" s="153"/>
      <c r="F127" s="152"/>
      <c r="G127" s="152"/>
      <c r="H127" s="155"/>
      <c r="I127" s="152"/>
      <c r="J127" s="152"/>
      <c r="K127" s="152"/>
      <c r="L127" s="152"/>
      <c r="M127" s="152"/>
      <c r="N127" s="147"/>
      <c r="O127" s="140"/>
      <c r="P127" s="140"/>
      <c r="Q127" s="140"/>
      <c r="R127" s="140"/>
      <c r="S127" s="140"/>
      <c r="T127" s="140"/>
      <c r="U127" s="140"/>
      <c r="V127" s="140"/>
    </row>
    <row r="128" spans="1:22" s="187" customFormat="1" ht="18" customHeight="1">
      <c r="A128" s="208"/>
      <c r="B128" s="262" t="s">
        <v>11</v>
      </c>
      <c r="C128" s="263"/>
      <c r="D128" s="263"/>
      <c r="E128" s="263"/>
      <c r="F128" s="264"/>
      <c r="G128" s="182">
        <f>SUM(G126:G127)</f>
        <v>59</v>
      </c>
      <c r="H128" s="183" t="s">
        <v>118</v>
      </c>
      <c r="I128" s="182">
        <f>SUM(I126:I127)</f>
        <v>442500</v>
      </c>
      <c r="J128" s="182"/>
      <c r="K128" s="184">
        <f>SUM(K126:K127)</f>
        <v>283200</v>
      </c>
      <c r="L128" s="185"/>
      <c r="M128" s="185"/>
      <c r="N128" s="186"/>
    </row>
    <row r="129" spans="1:22" ht="18" customHeight="1">
      <c r="A129" s="201"/>
      <c r="B129" s="195">
        <v>1842</v>
      </c>
      <c r="C129" s="196">
        <v>46242</v>
      </c>
      <c r="D129" s="196">
        <v>46246</v>
      </c>
      <c r="E129" s="195">
        <v>50</v>
      </c>
      <c r="F129" s="197" t="s">
        <v>117</v>
      </c>
      <c r="G129" s="198">
        <f>105-16-10-10-10-10-15</f>
        <v>34</v>
      </c>
      <c r="H129" s="199" t="s">
        <v>257</v>
      </c>
      <c r="I129" s="195">
        <f>525000-80000-50000-50000-50000-50000-75000</f>
        <v>170000</v>
      </c>
      <c r="J129" s="200">
        <v>0.76</v>
      </c>
      <c r="K129" s="179">
        <f>+I129*J129</f>
        <v>129200</v>
      </c>
      <c r="L129" s="176">
        <f ca="1">$L$3-C129</f>
        <v>28.550292708336201</v>
      </c>
      <c r="M129" s="176">
        <f ca="1">$L$3-D129</f>
        <v>24.550292708336201</v>
      </c>
      <c r="N129" s="177"/>
    </row>
    <row r="130" spans="1:22" s="207" customFormat="1" ht="18" customHeight="1">
      <c r="A130" s="206"/>
      <c r="B130" s="178"/>
      <c r="C130" s="202"/>
      <c r="D130" s="153"/>
      <c r="E130" s="153"/>
      <c r="F130" s="152"/>
      <c r="G130" s="152"/>
      <c r="H130" s="155"/>
      <c r="I130" s="152"/>
      <c r="J130" s="152"/>
      <c r="K130" s="152"/>
      <c r="L130" s="152"/>
      <c r="M130" s="152"/>
      <c r="N130" s="147"/>
      <c r="O130" s="140"/>
      <c r="P130" s="140"/>
      <c r="Q130" s="140"/>
      <c r="R130" s="140"/>
      <c r="S130" s="140"/>
      <c r="T130" s="140"/>
      <c r="U130" s="140"/>
      <c r="V130" s="140"/>
    </row>
    <row r="131" spans="1:22" s="187" customFormat="1" ht="18" customHeight="1">
      <c r="A131" s="208"/>
      <c r="B131" s="262" t="s">
        <v>11</v>
      </c>
      <c r="C131" s="263"/>
      <c r="D131" s="263"/>
      <c r="E131" s="263"/>
      <c r="F131" s="264"/>
      <c r="G131" s="182">
        <f>SUM(G129:G130)</f>
        <v>34</v>
      </c>
      <c r="H131" s="183" t="s">
        <v>117</v>
      </c>
      <c r="I131" s="182">
        <f>SUM(I129:I130)</f>
        <v>170000</v>
      </c>
      <c r="J131" s="182"/>
      <c r="K131" s="184">
        <f>SUM(K129:K130)</f>
        <v>129200</v>
      </c>
      <c r="L131" s="185"/>
      <c r="M131" s="185"/>
      <c r="N131" s="186"/>
    </row>
    <row r="132" spans="1:22" ht="18" customHeight="1">
      <c r="B132" s="195">
        <v>2036</v>
      </c>
      <c r="C132" s="196">
        <v>46261</v>
      </c>
      <c r="D132" s="196">
        <v>46266</v>
      </c>
      <c r="E132" s="195">
        <v>56</v>
      </c>
      <c r="F132" s="197" t="s">
        <v>86</v>
      </c>
      <c r="G132" s="198">
        <v>36</v>
      </c>
      <c r="H132" s="199" t="s">
        <v>100</v>
      </c>
      <c r="I132" s="195">
        <f>36*4000</f>
        <v>144000</v>
      </c>
      <c r="J132" s="200">
        <v>0.89</v>
      </c>
      <c r="K132" s="179">
        <f>+I132*J132</f>
        <v>128160</v>
      </c>
      <c r="L132" s="176">
        <f ca="1">$L$3-C132</f>
        <v>9.550292708336201</v>
      </c>
      <c r="M132" s="176">
        <f ca="1">$L$3-D132</f>
        <v>4.550292708336201</v>
      </c>
      <c r="N132" s="177"/>
    </row>
    <row r="133" spans="1:22" s="207" customFormat="1" ht="18" customHeight="1">
      <c r="A133" s="206"/>
      <c r="B133" s="152"/>
      <c r="C133" s="153"/>
      <c r="D133" s="153"/>
      <c r="E133" s="153"/>
      <c r="F133" s="152"/>
      <c r="G133" s="152"/>
      <c r="H133" s="155"/>
      <c r="I133" s="152"/>
      <c r="J133" s="152"/>
      <c r="K133" s="152"/>
      <c r="L133" s="152"/>
      <c r="M133" s="152"/>
      <c r="N133" s="147"/>
      <c r="O133" s="140"/>
      <c r="P133" s="140"/>
      <c r="Q133" s="140"/>
      <c r="R133" s="140"/>
      <c r="S133" s="140"/>
      <c r="T133" s="140"/>
      <c r="U133" s="140"/>
      <c r="V133" s="140"/>
    </row>
    <row r="134" spans="1:22" s="187" customFormat="1" ht="18" customHeight="1">
      <c r="A134" s="208"/>
      <c r="B134" s="262" t="s">
        <v>11</v>
      </c>
      <c r="C134" s="263"/>
      <c r="D134" s="263"/>
      <c r="E134" s="263"/>
      <c r="F134" s="264"/>
      <c r="G134" s="182">
        <f>SUM(G132:G133)</f>
        <v>36</v>
      </c>
      <c r="H134" s="183" t="s">
        <v>86</v>
      </c>
      <c r="I134" s="182">
        <f>SUM(I132:I133)</f>
        <v>144000</v>
      </c>
      <c r="J134" s="182"/>
      <c r="K134" s="184">
        <f>SUM(K132:K133)</f>
        <v>128160</v>
      </c>
      <c r="L134" s="185"/>
      <c r="M134" s="185"/>
      <c r="N134" s="186"/>
    </row>
    <row r="135" spans="1:22" ht="18" customHeight="1">
      <c r="A135" s="170"/>
      <c r="B135" s="195">
        <v>1623</v>
      </c>
      <c r="C135" s="196">
        <v>46228</v>
      </c>
      <c r="D135" s="196">
        <v>46232</v>
      </c>
      <c r="E135" s="195">
        <v>48</v>
      </c>
      <c r="F135" s="197" t="s">
        <v>171</v>
      </c>
      <c r="G135" s="198">
        <v>21</v>
      </c>
      <c r="H135" s="199" t="s">
        <v>172</v>
      </c>
      <c r="I135" s="195">
        <v>157500</v>
      </c>
      <c r="J135" s="200">
        <v>0.82</v>
      </c>
      <c r="K135" s="179">
        <f>+I135*J135</f>
        <v>129149.99999999999</v>
      </c>
      <c r="L135" s="176">
        <f ca="1">$L$3-C135</f>
        <v>42.550292708336201</v>
      </c>
      <c r="M135" s="176">
        <f ca="1">$L$3-D135</f>
        <v>38.550292708336201</v>
      </c>
      <c r="N135" s="177"/>
    </row>
    <row r="136" spans="1:22" s="207" customFormat="1" ht="18" customHeight="1">
      <c r="A136" s="206"/>
      <c r="B136" s="152"/>
      <c r="C136" s="153"/>
      <c r="D136" s="153"/>
      <c r="E136" s="153"/>
      <c r="F136" s="152"/>
      <c r="G136" s="152"/>
      <c r="H136" s="155"/>
      <c r="I136" s="152"/>
      <c r="J136" s="152"/>
      <c r="K136" s="152"/>
      <c r="L136" s="152"/>
      <c r="M136" s="152"/>
      <c r="N136" s="147"/>
      <c r="O136" s="140"/>
      <c r="P136" s="140"/>
      <c r="Q136" s="140"/>
      <c r="R136" s="140"/>
      <c r="S136" s="140"/>
      <c r="T136" s="140"/>
      <c r="U136" s="140"/>
      <c r="V136" s="140"/>
    </row>
    <row r="137" spans="1:22" s="187" customFormat="1" ht="18" customHeight="1">
      <c r="A137" s="208"/>
      <c r="B137" s="262" t="s">
        <v>11</v>
      </c>
      <c r="C137" s="263"/>
      <c r="D137" s="263"/>
      <c r="E137" s="263"/>
      <c r="F137" s="264"/>
      <c r="G137" s="182">
        <f>SUM(G135:G136)</f>
        <v>21</v>
      </c>
      <c r="H137" s="183" t="s">
        <v>171</v>
      </c>
      <c r="I137" s="182">
        <f>SUM(I135:I136)</f>
        <v>157500</v>
      </c>
      <c r="J137" s="182"/>
      <c r="K137" s="184">
        <f>SUM(K135:K136)</f>
        <v>129149.99999999999</v>
      </c>
      <c r="L137" s="185"/>
      <c r="M137" s="185"/>
      <c r="N137" s="186"/>
    </row>
    <row r="138" spans="1:22" ht="18" customHeight="1">
      <c r="A138" s="170"/>
      <c r="B138" s="171"/>
      <c r="C138" s="172"/>
      <c r="D138" s="172"/>
      <c r="E138" s="171"/>
      <c r="F138" s="147" t="s">
        <v>173</v>
      </c>
      <c r="G138" s="173"/>
      <c r="H138" s="174"/>
      <c r="I138" s="171"/>
      <c r="J138" s="148"/>
      <c r="K138" s="179">
        <f>+I138*J138</f>
        <v>0</v>
      </c>
      <c r="L138" s="176">
        <f ca="1">$L$3-C138</f>
        <v>46270.550292708336</v>
      </c>
      <c r="M138" s="176">
        <f ca="1">$L$3-D138</f>
        <v>46270.550292708336</v>
      </c>
      <c r="N138" s="177"/>
    </row>
    <row r="139" spans="1:22" s="207" customFormat="1" ht="18" customHeight="1">
      <c r="A139" s="206"/>
      <c r="B139" s="152"/>
      <c r="C139" s="153"/>
      <c r="D139" s="153"/>
      <c r="E139" s="153"/>
      <c r="F139" s="152"/>
      <c r="G139" s="152"/>
      <c r="H139" s="155"/>
      <c r="I139" s="152"/>
      <c r="J139" s="152"/>
      <c r="K139" s="152"/>
      <c r="L139" s="152"/>
      <c r="M139" s="152"/>
      <c r="N139" s="147"/>
      <c r="O139" s="140"/>
      <c r="P139" s="140"/>
      <c r="Q139" s="140"/>
      <c r="R139" s="140"/>
      <c r="S139" s="140"/>
      <c r="T139" s="140"/>
      <c r="U139" s="140"/>
      <c r="V139" s="140"/>
    </row>
    <row r="140" spans="1:22" s="187" customFormat="1" ht="18" customHeight="1">
      <c r="A140" s="208"/>
      <c r="B140" s="262" t="s">
        <v>11</v>
      </c>
      <c r="C140" s="263"/>
      <c r="D140" s="263"/>
      <c r="E140" s="263"/>
      <c r="F140" s="264"/>
      <c r="G140" s="182">
        <f>SUM(G138:G139)</f>
        <v>0</v>
      </c>
      <c r="H140" s="183" t="s">
        <v>173</v>
      </c>
      <c r="I140" s="182">
        <f>SUM(I138:I139)</f>
        <v>0</v>
      </c>
      <c r="J140" s="182"/>
      <c r="K140" s="184">
        <f>SUM(K138:K139)</f>
        <v>0</v>
      </c>
      <c r="L140" s="185"/>
      <c r="M140" s="185"/>
      <c r="N140" s="186"/>
    </row>
    <row r="141" spans="1:22" ht="18" customHeight="1">
      <c r="A141" s="201"/>
      <c r="B141" s="195">
        <v>1842</v>
      </c>
      <c r="C141" s="196">
        <v>46242</v>
      </c>
      <c r="D141" s="196">
        <v>46246</v>
      </c>
      <c r="E141" s="195">
        <v>50</v>
      </c>
      <c r="F141" s="197" t="s">
        <v>174</v>
      </c>
      <c r="G141" s="198">
        <v>2</v>
      </c>
      <c r="H141" s="199" t="s">
        <v>175</v>
      </c>
      <c r="I141" s="195">
        <v>10000</v>
      </c>
      <c r="J141" s="200">
        <v>0.96</v>
      </c>
      <c r="K141" s="179">
        <f>+I141*J141</f>
        <v>9600</v>
      </c>
      <c r="L141" s="176">
        <f ca="1">$L$3-C141</f>
        <v>28.550292708336201</v>
      </c>
      <c r="M141" s="176">
        <f ca="1">$L$3-D141</f>
        <v>24.550292708336201</v>
      </c>
      <c r="N141" s="177"/>
    </row>
    <row r="142" spans="1:22" ht="18" customHeight="1">
      <c r="A142" s="201"/>
      <c r="B142" s="195">
        <v>1843</v>
      </c>
      <c r="C142" s="196">
        <v>46242</v>
      </c>
      <c r="D142" s="196">
        <v>46246</v>
      </c>
      <c r="E142" s="195">
        <v>51</v>
      </c>
      <c r="F142" s="197" t="s">
        <v>174</v>
      </c>
      <c r="G142" s="198">
        <v>12</v>
      </c>
      <c r="H142" s="199" t="s">
        <v>176</v>
      </c>
      <c r="I142" s="195">
        <v>60000</v>
      </c>
      <c r="J142" s="200">
        <v>0.96</v>
      </c>
      <c r="K142" s="179">
        <f>+I142*J142</f>
        <v>57600</v>
      </c>
      <c r="L142" s="176">
        <f ca="1">$L$3-C142</f>
        <v>28.550292708336201</v>
      </c>
      <c r="M142" s="176">
        <f ca="1">$L$3-D142</f>
        <v>24.550292708336201</v>
      </c>
      <c r="N142" s="177"/>
    </row>
    <row r="143" spans="1:22" s="207" customFormat="1" ht="18" customHeight="1">
      <c r="A143" s="206"/>
      <c r="B143" s="152"/>
      <c r="C143" s="153"/>
      <c r="D143" s="153"/>
      <c r="E143" s="152"/>
      <c r="F143" s="152"/>
      <c r="G143" s="152"/>
      <c r="H143" s="155"/>
      <c r="I143" s="152"/>
      <c r="J143" s="152"/>
      <c r="K143" s="152"/>
      <c r="L143" s="152"/>
      <c r="M143" s="152"/>
      <c r="N143" s="147"/>
      <c r="O143" s="140"/>
      <c r="P143" s="140"/>
      <c r="Q143" s="140"/>
      <c r="R143" s="140"/>
      <c r="S143" s="140"/>
      <c r="T143" s="140"/>
      <c r="U143" s="140"/>
      <c r="V143" s="140"/>
    </row>
    <row r="144" spans="1:22" s="187" customFormat="1" ht="18" customHeight="1">
      <c r="A144" s="208"/>
      <c r="B144" s="262" t="s">
        <v>11</v>
      </c>
      <c r="C144" s="263"/>
      <c r="D144" s="263"/>
      <c r="E144" s="263"/>
      <c r="F144" s="264"/>
      <c r="G144" s="182">
        <f>SUM(G141:G143)</f>
        <v>14</v>
      </c>
      <c r="H144" s="183" t="s">
        <v>174</v>
      </c>
      <c r="I144" s="182">
        <f>SUM(I141:I143)</f>
        <v>70000</v>
      </c>
      <c r="J144" s="182"/>
      <c r="K144" s="184">
        <f>SUM(K141:K143)</f>
        <v>67200</v>
      </c>
      <c r="L144" s="185"/>
      <c r="M144" s="185"/>
      <c r="N144" s="186"/>
    </row>
    <row r="145" spans="1:22" ht="18" customHeight="1">
      <c r="A145" s="201"/>
      <c r="B145" s="195">
        <v>1843</v>
      </c>
      <c r="C145" s="196">
        <v>46242</v>
      </c>
      <c r="D145" s="196">
        <v>46246</v>
      </c>
      <c r="E145" s="195">
        <v>51</v>
      </c>
      <c r="F145" s="197" t="s">
        <v>98</v>
      </c>
      <c r="G145" s="198">
        <f>9-3</f>
        <v>6</v>
      </c>
      <c r="H145" s="199" t="s">
        <v>258</v>
      </c>
      <c r="I145" s="195">
        <f>31500-10500</f>
        <v>21000</v>
      </c>
      <c r="J145" s="200">
        <v>1.36</v>
      </c>
      <c r="K145" s="179">
        <f>+I145*J145</f>
        <v>28560.000000000004</v>
      </c>
      <c r="L145" s="176">
        <f t="shared" ref="L145:M146" ca="1" si="7">$L$3-C145</f>
        <v>28.550292708336201</v>
      </c>
      <c r="M145" s="176">
        <f t="shared" ca="1" si="7"/>
        <v>24.550292708336201</v>
      </c>
      <c r="N145" s="177"/>
    </row>
    <row r="146" spans="1:22" ht="18" customHeight="1">
      <c r="A146" s="201"/>
      <c r="B146" s="195">
        <v>2036</v>
      </c>
      <c r="C146" s="196">
        <v>46261</v>
      </c>
      <c r="D146" s="196">
        <v>46266</v>
      </c>
      <c r="E146" s="195">
        <v>56</v>
      </c>
      <c r="F146" s="197" t="s">
        <v>98</v>
      </c>
      <c r="G146" s="198">
        <v>29</v>
      </c>
      <c r="H146" s="199" t="s">
        <v>108</v>
      </c>
      <c r="I146" s="195">
        <f>29*3500</f>
        <v>101500</v>
      </c>
      <c r="J146" s="200">
        <v>1.36</v>
      </c>
      <c r="K146" s="179">
        <f>+I146*J146</f>
        <v>138040</v>
      </c>
      <c r="L146" s="176">
        <f t="shared" ca="1" si="7"/>
        <v>9.550292708336201</v>
      </c>
      <c r="M146" s="176">
        <f t="shared" ca="1" si="7"/>
        <v>4.550292708336201</v>
      </c>
      <c r="N146" s="177"/>
    </row>
    <row r="147" spans="1:22" s="207" customFormat="1" ht="18" customHeight="1">
      <c r="A147" s="206"/>
      <c r="B147" s="152"/>
      <c r="C147" s="153"/>
      <c r="D147" s="153"/>
      <c r="E147" s="153"/>
      <c r="F147" s="152"/>
      <c r="G147" s="152"/>
      <c r="H147" s="155"/>
      <c r="I147" s="152"/>
      <c r="J147" s="152"/>
      <c r="K147" s="152"/>
      <c r="L147" s="152"/>
      <c r="M147" s="152"/>
      <c r="N147" s="147"/>
      <c r="O147" s="140"/>
      <c r="P147" s="140"/>
      <c r="Q147" s="140"/>
      <c r="R147" s="140"/>
      <c r="S147" s="140"/>
      <c r="T147" s="140"/>
      <c r="U147" s="140"/>
      <c r="V147" s="140"/>
    </row>
    <row r="148" spans="1:22" s="187" customFormat="1" ht="18" customHeight="1">
      <c r="A148" s="208"/>
      <c r="B148" s="262" t="s">
        <v>11</v>
      </c>
      <c r="C148" s="263"/>
      <c r="D148" s="263"/>
      <c r="E148" s="263"/>
      <c r="F148" s="264"/>
      <c r="G148" s="182">
        <f>SUM(G145:G147)</f>
        <v>35</v>
      </c>
      <c r="H148" s="183" t="s">
        <v>98</v>
      </c>
      <c r="I148" s="182">
        <f>SUM(I145:I147)</f>
        <v>122500</v>
      </c>
      <c r="J148" s="182"/>
      <c r="K148" s="184">
        <f>SUM(K145:K147)</f>
        <v>166600</v>
      </c>
      <c r="L148" s="185"/>
      <c r="M148" s="185"/>
      <c r="N148" s="186"/>
    </row>
    <row r="149" spans="1:22" ht="18" customHeight="1">
      <c r="A149" s="170"/>
      <c r="B149" s="171">
        <v>1335</v>
      </c>
      <c r="C149" s="172">
        <v>46207</v>
      </c>
      <c r="D149" s="172">
        <v>46210</v>
      </c>
      <c r="E149" s="171">
        <v>40</v>
      </c>
      <c r="F149" s="147" t="s">
        <v>177</v>
      </c>
      <c r="G149" s="173">
        <f>32-6-16-8</f>
        <v>2</v>
      </c>
      <c r="H149" s="174" t="s">
        <v>175</v>
      </c>
      <c r="I149" s="171">
        <f>160000-30000-80000-40000</f>
        <v>10000</v>
      </c>
      <c r="J149" s="148">
        <v>0.76</v>
      </c>
      <c r="K149" s="179">
        <f>+I149*J149</f>
        <v>7600</v>
      </c>
      <c r="L149" s="176">
        <f ca="1">$L$3-C149</f>
        <v>63.550292708336201</v>
      </c>
      <c r="M149" s="176">
        <f ca="1">$L$3-D149</f>
        <v>60.550292708336201</v>
      </c>
      <c r="N149" s="177"/>
    </row>
    <row r="150" spans="1:22" ht="18" customHeight="1">
      <c r="A150" s="170"/>
      <c r="B150" s="171">
        <v>1499</v>
      </c>
      <c r="C150" s="172">
        <v>46220</v>
      </c>
      <c r="D150" s="172">
        <v>46223</v>
      </c>
      <c r="E150" s="171">
        <v>44</v>
      </c>
      <c r="F150" s="147" t="s">
        <v>177</v>
      </c>
      <c r="G150" s="173">
        <v>10</v>
      </c>
      <c r="H150" s="174" t="s">
        <v>178</v>
      </c>
      <c r="I150" s="171">
        <v>50000</v>
      </c>
      <c r="J150" s="148">
        <v>0.76</v>
      </c>
      <c r="K150" s="179">
        <f>+I150*J150</f>
        <v>38000</v>
      </c>
      <c r="L150" s="176">
        <f ca="1">$L$3-C150</f>
        <v>50.550292708336201</v>
      </c>
      <c r="M150" s="176">
        <f ca="1">$L$3-D150</f>
        <v>47.550292708336201</v>
      </c>
      <c r="N150" s="177"/>
    </row>
    <row r="151" spans="1:22" s="207" customFormat="1" ht="18" customHeight="1">
      <c r="A151" s="206"/>
      <c r="B151" s="152"/>
      <c r="C151" s="153"/>
      <c r="D151" s="153"/>
      <c r="E151" s="152"/>
      <c r="F151" s="152"/>
      <c r="G151" s="152"/>
      <c r="H151" s="174"/>
      <c r="I151" s="152"/>
      <c r="J151" s="179"/>
      <c r="K151" s="179"/>
      <c r="L151" s="179"/>
      <c r="M151" s="179"/>
      <c r="N151" s="177"/>
      <c r="O151" s="140"/>
      <c r="P151" s="140"/>
      <c r="Q151" s="140"/>
      <c r="R151" s="140"/>
      <c r="S151" s="140"/>
      <c r="T151" s="140"/>
      <c r="U151" s="140"/>
      <c r="V151" s="140"/>
    </row>
    <row r="152" spans="1:22" s="187" customFormat="1" ht="18" customHeight="1">
      <c r="A152" s="208"/>
      <c r="B152" s="262" t="s">
        <v>11</v>
      </c>
      <c r="C152" s="263"/>
      <c r="D152" s="263"/>
      <c r="E152" s="263"/>
      <c r="F152" s="264"/>
      <c r="G152" s="182">
        <f>SUM(G149:G151)</f>
        <v>12</v>
      </c>
      <c r="H152" s="183" t="s">
        <v>177</v>
      </c>
      <c r="I152" s="182">
        <f>SUM(I149:I151)</f>
        <v>60000</v>
      </c>
      <c r="J152" s="182"/>
      <c r="K152" s="184">
        <f>SUM(K149:K151)</f>
        <v>45600</v>
      </c>
      <c r="L152" s="185"/>
      <c r="M152" s="185"/>
      <c r="N152" s="186"/>
    </row>
    <row r="153" spans="1:22" ht="18" customHeight="1">
      <c r="A153" s="201"/>
      <c r="B153" s="195">
        <v>1843</v>
      </c>
      <c r="C153" s="196">
        <v>46242</v>
      </c>
      <c r="D153" s="196">
        <v>46246</v>
      </c>
      <c r="E153" s="195">
        <v>51</v>
      </c>
      <c r="F153" s="197" t="s">
        <v>95</v>
      </c>
      <c r="G153" s="198">
        <v>17</v>
      </c>
      <c r="H153" s="199" t="s">
        <v>93</v>
      </c>
      <c r="I153" s="195">
        <v>102000</v>
      </c>
      <c r="J153" s="200">
        <v>0.64</v>
      </c>
      <c r="K153" s="179">
        <f>+I153*J153</f>
        <v>65280</v>
      </c>
      <c r="L153" s="176">
        <f ca="1">$L$3-C153</f>
        <v>28.550292708336201</v>
      </c>
      <c r="M153" s="176">
        <f ca="1">$L$3-D153</f>
        <v>24.550292708336201</v>
      </c>
      <c r="N153" s="177"/>
    </row>
    <row r="154" spans="1:22" ht="18" customHeight="1">
      <c r="A154" s="201"/>
      <c r="B154" s="195">
        <v>2036</v>
      </c>
      <c r="C154" s="196">
        <v>46261</v>
      </c>
      <c r="D154" s="196">
        <v>46266</v>
      </c>
      <c r="E154" s="195">
        <v>56</v>
      </c>
      <c r="F154" s="197" t="s">
        <v>95</v>
      </c>
      <c r="G154" s="198">
        <v>46</v>
      </c>
      <c r="H154" s="199" t="s">
        <v>106</v>
      </c>
      <c r="I154" s="195">
        <f>46*6000</f>
        <v>276000</v>
      </c>
      <c r="J154" s="200">
        <v>0.64</v>
      </c>
      <c r="K154" s="179">
        <f>+I154*J154</f>
        <v>176640</v>
      </c>
      <c r="L154" s="176">
        <f ca="1">$L$3-C154</f>
        <v>9.550292708336201</v>
      </c>
      <c r="M154" s="176">
        <f ca="1">$L$3-D154</f>
        <v>4.550292708336201</v>
      </c>
      <c r="N154" s="177"/>
    </row>
    <row r="155" spans="1:22" s="207" customFormat="1" ht="18" customHeight="1">
      <c r="A155" s="206"/>
      <c r="B155" s="152"/>
      <c r="C155" s="153"/>
      <c r="D155" s="153"/>
      <c r="E155" s="152"/>
      <c r="F155" s="152"/>
      <c r="G155" s="152"/>
      <c r="H155" s="174"/>
      <c r="I155" s="152"/>
      <c r="J155" s="179"/>
      <c r="K155" s="179"/>
      <c r="L155" s="179"/>
      <c r="M155" s="179"/>
      <c r="N155" s="177"/>
      <c r="O155" s="140"/>
      <c r="P155" s="140"/>
      <c r="Q155" s="140"/>
      <c r="R155" s="140"/>
      <c r="S155" s="140"/>
      <c r="T155" s="140"/>
      <c r="U155" s="140"/>
      <c r="V155" s="140"/>
    </row>
    <row r="156" spans="1:22" s="187" customFormat="1" ht="18" customHeight="1">
      <c r="A156" s="208"/>
      <c r="B156" s="262" t="s">
        <v>11</v>
      </c>
      <c r="C156" s="263"/>
      <c r="D156" s="263"/>
      <c r="E156" s="263"/>
      <c r="F156" s="264"/>
      <c r="G156" s="182">
        <f>SUM(G153:G155)</f>
        <v>63</v>
      </c>
      <c r="H156" s="183" t="s">
        <v>95</v>
      </c>
      <c r="I156" s="182">
        <f>SUM(I153:I155)</f>
        <v>378000</v>
      </c>
      <c r="J156" s="182"/>
      <c r="K156" s="184">
        <f>SUM(K153:K155)</f>
        <v>241920</v>
      </c>
      <c r="L156" s="185"/>
      <c r="M156" s="185"/>
      <c r="N156" s="186"/>
    </row>
    <row r="157" spans="1:22" ht="18" customHeight="1">
      <c r="A157" s="201"/>
      <c r="B157" s="195">
        <v>1843</v>
      </c>
      <c r="C157" s="196">
        <v>46242</v>
      </c>
      <c r="D157" s="196">
        <v>46246</v>
      </c>
      <c r="E157" s="195">
        <v>51</v>
      </c>
      <c r="F157" s="197" t="s">
        <v>96</v>
      </c>
      <c r="G157" s="198">
        <v>15</v>
      </c>
      <c r="H157" s="199" t="s">
        <v>97</v>
      </c>
      <c r="I157" s="195">
        <v>60000</v>
      </c>
      <c r="J157" s="200">
        <v>0.99</v>
      </c>
      <c r="K157" s="179">
        <f>+I157*J157</f>
        <v>59400</v>
      </c>
      <c r="L157" s="176">
        <f ca="1">$L$3-C157</f>
        <v>28.550292708336201</v>
      </c>
      <c r="M157" s="176">
        <f ca="1">$L$3-D157</f>
        <v>24.550292708336201</v>
      </c>
      <c r="N157" s="177"/>
    </row>
    <row r="158" spans="1:22" ht="18" customHeight="1">
      <c r="A158" s="201"/>
      <c r="B158" s="195">
        <v>2036</v>
      </c>
      <c r="C158" s="196">
        <v>46261</v>
      </c>
      <c r="D158" s="196">
        <v>46266</v>
      </c>
      <c r="E158" s="195">
        <v>56</v>
      </c>
      <c r="F158" s="197" t="s">
        <v>96</v>
      </c>
      <c r="G158" s="198">
        <v>50</v>
      </c>
      <c r="H158" s="199" t="s">
        <v>107</v>
      </c>
      <c r="I158" s="195">
        <f>50*4000</f>
        <v>200000</v>
      </c>
      <c r="J158" s="200">
        <v>0.99</v>
      </c>
      <c r="K158" s="179">
        <f>+I158*J158</f>
        <v>198000</v>
      </c>
      <c r="L158" s="176">
        <f ca="1">$L$3-C158</f>
        <v>9.550292708336201</v>
      </c>
      <c r="M158" s="176">
        <f ca="1">$L$3-D158</f>
        <v>4.550292708336201</v>
      </c>
      <c r="N158" s="177"/>
    </row>
    <row r="159" spans="1:22" s="207" customFormat="1" ht="18" customHeight="1">
      <c r="A159" s="206"/>
      <c r="B159" s="152"/>
      <c r="C159" s="153"/>
      <c r="D159" s="153"/>
      <c r="E159" s="152"/>
      <c r="F159" s="152"/>
      <c r="G159" s="152"/>
      <c r="H159" s="174"/>
      <c r="I159" s="152"/>
      <c r="J159" s="179"/>
      <c r="K159" s="179"/>
      <c r="L159" s="179"/>
      <c r="M159" s="179"/>
      <c r="N159" s="177"/>
      <c r="O159" s="140"/>
      <c r="P159" s="140"/>
      <c r="Q159" s="140"/>
      <c r="R159" s="140"/>
      <c r="S159" s="140"/>
      <c r="T159" s="140"/>
      <c r="U159" s="140"/>
      <c r="V159" s="140"/>
    </row>
    <row r="160" spans="1:22" s="187" customFormat="1" ht="18" customHeight="1">
      <c r="A160" s="208"/>
      <c r="B160" s="262" t="s">
        <v>11</v>
      </c>
      <c r="C160" s="263"/>
      <c r="D160" s="263"/>
      <c r="E160" s="263"/>
      <c r="F160" s="264"/>
      <c r="G160" s="182">
        <f>SUM(G157:G159)</f>
        <v>65</v>
      </c>
      <c r="H160" s="183" t="s">
        <v>96</v>
      </c>
      <c r="I160" s="182">
        <f>SUM(I157:I159)</f>
        <v>260000</v>
      </c>
      <c r="J160" s="182"/>
      <c r="K160" s="184">
        <f>SUM(K157:K159)</f>
        <v>257400</v>
      </c>
      <c r="L160" s="185"/>
      <c r="M160" s="185"/>
      <c r="N160" s="186"/>
    </row>
    <row r="161" spans="1:14" ht="18" customHeight="1">
      <c r="A161" s="201"/>
      <c r="B161" s="195"/>
      <c r="C161" s="196"/>
      <c r="D161" s="196"/>
      <c r="E161" s="195"/>
      <c r="F161" s="197" t="s">
        <v>179</v>
      </c>
      <c r="G161" s="198"/>
      <c r="H161" s="199"/>
      <c r="I161" s="195"/>
      <c r="J161" s="200"/>
      <c r="K161" s="179">
        <f>+I161*J161</f>
        <v>0</v>
      </c>
      <c r="L161" s="176">
        <f ca="1">$L$3-C161</f>
        <v>46270.550292708336</v>
      </c>
      <c r="M161" s="176">
        <f ca="1">$L$3-D161</f>
        <v>46270.550292708336</v>
      </c>
      <c r="N161" s="177"/>
    </row>
    <row r="162" spans="1:14" ht="18" customHeight="1">
      <c r="B162" s="152"/>
      <c r="C162" s="153"/>
      <c r="D162" s="153"/>
      <c r="E162" s="152"/>
      <c r="F162" s="152"/>
      <c r="G162" s="152"/>
      <c r="H162" s="155"/>
      <c r="I162" s="152"/>
      <c r="J162" s="152"/>
      <c r="K162" s="152"/>
      <c r="L162" s="152"/>
      <c r="M162" s="152"/>
      <c r="N162" s="177"/>
    </row>
    <row r="163" spans="1:14" s="187" customFormat="1" ht="18" customHeight="1">
      <c r="A163" s="208"/>
      <c r="B163" s="262" t="s">
        <v>11</v>
      </c>
      <c r="C163" s="263"/>
      <c r="D163" s="263"/>
      <c r="E163" s="263"/>
      <c r="F163" s="264"/>
      <c r="G163" s="182">
        <f>SUM(G161:G162)</f>
        <v>0</v>
      </c>
      <c r="H163" s="183" t="s">
        <v>179</v>
      </c>
      <c r="I163" s="182">
        <f>SUM(I161:I162)</f>
        <v>0</v>
      </c>
      <c r="J163" s="182"/>
      <c r="K163" s="184">
        <f>SUM(K161:K162)</f>
        <v>0</v>
      </c>
      <c r="L163" s="184"/>
      <c r="M163" s="184"/>
      <c r="N163" s="186"/>
    </row>
    <row r="164" spans="1:14" ht="18" customHeight="1">
      <c r="A164" s="201"/>
      <c r="B164" s="171">
        <v>1043</v>
      </c>
      <c r="C164" s="172">
        <v>46186</v>
      </c>
      <c r="D164" s="172">
        <v>46189</v>
      </c>
      <c r="E164" s="171">
        <v>27</v>
      </c>
      <c r="F164" s="147" t="s">
        <v>180</v>
      </c>
      <c r="G164" s="173">
        <f>2-2</f>
        <v>0</v>
      </c>
      <c r="H164" s="171">
        <f>2*5040-2*5040</f>
        <v>0</v>
      </c>
      <c r="I164" s="171">
        <f>10080-10080</f>
        <v>0</v>
      </c>
      <c r="J164" s="148">
        <v>4.91</v>
      </c>
      <c r="K164" s="179">
        <f>+I164*J164</f>
        <v>0</v>
      </c>
      <c r="L164" s="176">
        <f ca="1">$L$3-C164</f>
        <v>84.550292708336201</v>
      </c>
      <c r="M164" s="176">
        <f ca="1">$L$3-D164</f>
        <v>81.550292708336201</v>
      </c>
      <c r="N164" s="177"/>
    </row>
    <row r="165" spans="1:14" ht="18" customHeight="1">
      <c r="B165" s="152"/>
      <c r="C165" s="153"/>
      <c r="D165" s="153"/>
      <c r="E165" s="152"/>
      <c r="F165" s="152"/>
      <c r="G165" s="152"/>
      <c r="H165" s="155"/>
      <c r="I165" s="152"/>
      <c r="J165" s="152"/>
      <c r="K165" s="152"/>
      <c r="L165" s="227"/>
      <c r="M165" s="227"/>
      <c r="N165" s="177"/>
    </row>
    <row r="166" spans="1:14" s="187" customFormat="1" ht="18" customHeight="1">
      <c r="A166" s="208"/>
      <c r="B166" s="262" t="s">
        <v>11</v>
      </c>
      <c r="C166" s="263"/>
      <c r="D166" s="263"/>
      <c r="E166" s="263"/>
      <c r="F166" s="264"/>
      <c r="G166" s="182">
        <f>SUM(G164:G165)</f>
        <v>0</v>
      </c>
      <c r="H166" s="183" t="s">
        <v>180</v>
      </c>
      <c r="I166" s="182">
        <f>SUM(I164:I165)</f>
        <v>0</v>
      </c>
      <c r="J166" s="182"/>
      <c r="K166" s="184">
        <f>SUM(K164:K165)</f>
        <v>0</v>
      </c>
      <c r="L166" s="184"/>
      <c r="M166" s="184"/>
      <c r="N166" s="186"/>
    </row>
    <row r="167" spans="1:14" ht="18" customHeight="1">
      <c r="A167" s="201"/>
      <c r="B167" s="171">
        <v>1044</v>
      </c>
      <c r="C167" s="172">
        <v>46186</v>
      </c>
      <c r="D167" s="172">
        <v>46189</v>
      </c>
      <c r="E167" s="171">
        <v>28</v>
      </c>
      <c r="F167" s="147" t="s">
        <v>181</v>
      </c>
      <c r="G167" s="173">
        <v>4</v>
      </c>
      <c r="H167" s="174" t="s">
        <v>182</v>
      </c>
      <c r="I167" s="171">
        <v>7680</v>
      </c>
      <c r="J167" s="148">
        <v>1.92</v>
      </c>
      <c r="K167" s="179">
        <f>+I167*J167</f>
        <v>14745.599999999999</v>
      </c>
      <c r="L167" s="176">
        <f ca="1">$L$3-C167</f>
        <v>84.550292708336201</v>
      </c>
      <c r="M167" s="176">
        <f ca="1">$L$3-D167</f>
        <v>81.550292708336201</v>
      </c>
      <c r="N167" s="177"/>
    </row>
    <row r="168" spans="1:14" ht="18" customHeight="1">
      <c r="B168" s="152"/>
      <c r="C168" s="153"/>
      <c r="D168" s="153"/>
      <c r="E168" s="152"/>
      <c r="F168" s="152"/>
      <c r="G168" s="152"/>
      <c r="H168" s="155"/>
      <c r="I168" s="152"/>
      <c r="J168" s="152"/>
      <c r="K168" s="152"/>
      <c r="L168" s="152"/>
      <c r="M168" s="152"/>
      <c r="N168" s="177"/>
    </row>
    <row r="169" spans="1:14" s="187" customFormat="1" ht="18" customHeight="1">
      <c r="A169" s="208"/>
      <c r="B169" s="262" t="s">
        <v>11</v>
      </c>
      <c r="C169" s="263"/>
      <c r="D169" s="263"/>
      <c r="E169" s="263"/>
      <c r="F169" s="264"/>
      <c r="G169" s="182">
        <f>SUM(G167:G168)</f>
        <v>4</v>
      </c>
      <c r="H169" s="183" t="s">
        <v>181</v>
      </c>
      <c r="I169" s="182">
        <f>SUM(I167:I168)</f>
        <v>7680</v>
      </c>
      <c r="J169" s="182"/>
      <c r="K169" s="184">
        <f>SUM(K167:K168)</f>
        <v>14745.599999999999</v>
      </c>
      <c r="L169" s="184"/>
      <c r="M169" s="184"/>
      <c r="N169" s="186"/>
    </row>
    <row r="170" spans="1:14" ht="18" customHeight="1">
      <c r="A170" s="201"/>
      <c r="B170" s="171">
        <v>1044</v>
      </c>
      <c r="C170" s="172">
        <v>46186</v>
      </c>
      <c r="D170" s="172">
        <v>46189</v>
      </c>
      <c r="E170" s="171">
        <v>28</v>
      </c>
      <c r="F170" s="147" t="s">
        <v>183</v>
      </c>
      <c r="G170" s="173">
        <f>3-1</f>
        <v>2</v>
      </c>
      <c r="H170" s="174" t="s">
        <v>184</v>
      </c>
      <c r="I170" s="171">
        <f>4128-1376</f>
        <v>2752</v>
      </c>
      <c r="J170" s="148">
        <v>3.65</v>
      </c>
      <c r="K170" s="179">
        <f>+I170*J170</f>
        <v>10044.799999999999</v>
      </c>
      <c r="L170" s="176">
        <f ca="1">$L$3-C170</f>
        <v>84.550292708336201</v>
      </c>
      <c r="M170" s="176">
        <f ca="1">$L$3-D170</f>
        <v>81.550292708336201</v>
      </c>
      <c r="N170" s="177"/>
    </row>
    <row r="171" spans="1:14" ht="18" customHeight="1">
      <c r="B171" s="152"/>
      <c r="C171" s="153"/>
      <c r="D171" s="153"/>
      <c r="E171" s="152"/>
      <c r="F171" s="152"/>
      <c r="G171" s="152"/>
      <c r="H171" s="155"/>
      <c r="I171" s="152"/>
      <c r="J171" s="152"/>
      <c r="K171" s="152"/>
      <c r="L171" s="152"/>
      <c r="M171" s="152"/>
      <c r="N171" s="177"/>
    </row>
    <row r="172" spans="1:14" s="187" customFormat="1" ht="18" customHeight="1">
      <c r="A172" s="208"/>
      <c r="B172" s="262" t="s">
        <v>11</v>
      </c>
      <c r="C172" s="263"/>
      <c r="D172" s="263"/>
      <c r="E172" s="263"/>
      <c r="F172" s="264"/>
      <c r="G172" s="182">
        <f>SUM(G170:G171)</f>
        <v>2</v>
      </c>
      <c r="H172" s="183" t="s">
        <v>183</v>
      </c>
      <c r="I172" s="182">
        <f>SUM(I170:I171)</f>
        <v>2752</v>
      </c>
      <c r="J172" s="182"/>
      <c r="K172" s="184">
        <f>SUM(K170:K171)</f>
        <v>10044.799999999999</v>
      </c>
      <c r="L172" s="184"/>
      <c r="M172" s="184"/>
      <c r="N172" s="186"/>
    </row>
    <row r="173" spans="1:14" ht="18" customHeight="1">
      <c r="A173" s="201"/>
      <c r="B173" s="171">
        <v>1044</v>
      </c>
      <c r="C173" s="172">
        <v>46186</v>
      </c>
      <c r="D173" s="172">
        <v>46189</v>
      </c>
      <c r="E173" s="171">
        <v>28</v>
      </c>
      <c r="F173" s="147" t="s">
        <v>185</v>
      </c>
      <c r="G173" s="173">
        <v>3</v>
      </c>
      <c r="H173" s="174" t="s">
        <v>186</v>
      </c>
      <c r="I173" s="171">
        <v>3360</v>
      </c>
      <c r="J173" s="148">
        <v>2.6</v>
      </c>
      <c r="K173" s="179">
        <f>+I173*J173</f>
        <v>8736</v>
      </c>
      <c r="L173" s="176">
        <f ca="1">$L$3-C173</f>
        <v>84.550292708336201</v>
      </c>
      <c r="M173" s="176">
        <f ca="1">$L$3-D173</f>
        <v>81.550292708336201</v>
      </c>
      <c r="N173" s="177"/>
    </row>
    <row r="174" spans="1:14" ht="18" customHeight="1">
      <c r="B174" s="152"/>
      <c r="C174" s="153"/>
      <c r="D174" s="153"/>
      <c r="E174" s="152"/>
      <c r="F174" s="152"/>
      <c r="G174" s="152"/>
      <c r="H174" s="155"/>
      <c r="I174" s="152"/>
      <c r="J174" s="152"/>
      <c r="K174" s="152"/>
      <c r="L174" s="152"/>
      <c r="M174" s="152"/>
      <c r="N174" s="177"/>
    </row>
    <row r="175" spans="1:14" s="187" customFormat="1" ht="18" customHeight="1">
      <c r="A175" s="208"/>
      <c r="B175" s="262" t="s">
        <v>11</v>
      </c>
      <c r="C175" s="263"/>
      <c r="D175" s="263"/>
      <c r="E175" s="263"/>
      <c r="F175" s="264"/>
      <c r="G175" s="182">
        <f>SUM(G173:G174)</f>
        <v>3</v>
      </c>
      <c r="H175" s="183" t="s">
        <v>185</v>
      </c>
      <c r="I175" s="182">
        <f>SUM(I173:I174)</f>
        <v>3360</v>
      </c>
      <c r="J175" s="182"/>
      <c r="K175" s="184">
        <f>SUM(K173:K174)</f>
        <v>8736</v>
      </c>
      <c r="L175" s="184"/>
      <c r="M175" s="184"/>
      <c r="N175" s="186"/>
    </row>
    <row r="176" spans="1:14" ht="18" customHeight="1">
      <c r="A176" s="201"/>
      <c r="B176" s="171">
        <v>1044</v>
      </c>
      <c r="C176" s="172">
        <v>46186</v>
      </c>
      <c r="D176" s="172">
        <v>46189</v>
      </c>
      <c r="E176" s="171">
        <v>28</v>
      </c>
      <c r="F176" s="147" t="s">
        <v>187</v>
      </c>
      <c r="G176" s="173">
        <v>1</v>
      </c>
      <c r="H176" s="174" t="s">
        <v>188</v>
      </c>
      <c r="I176" s="171">
        <v>6300</v>
      </c>
      <c r="J176" s="148">
        <v>0.78</v>
      </c>
      <c r="K176" s="179">
        <f>+I176*J176</f>
        <v>4914</v>
      </c>
      <c r="L176" s="176">
        <f ca="1">$L$3-C176</f>
        <v>84.550292708336201</v>
      </c>
      <c r="M176" s="176">
        <f ca="1">$L$3-D176</f>
        <v>81.550292708336201</v>
      </c>
      <c r="N176" s="177"/>
    </row>
    <row r="177" spans="1:14" ht="16.5" customHeight="1">
      <c r="B177" s="152"/>
      <c r="C177" s="153"/>
      <c r="D177" s="153"/>
      <c r="E177" s="152"/>
      <c r="F177" s="152"/>
      <c r="G177" s="152"/>
      <c r="H177" s="155"/>
      <c r="I177" s="152"/>
      <c r="J177" s="152"/>
      <c r="K177" s="152"/>
      <c r="L177" s="152"/>
      <c r="M177" s="152"/>
      <c r="N177" s="177"/>
    </row>
    <row r="178" spans="1:14" s="187" customFormat="1" ht="16.5" customHeight="1">
      <c r="A178" s="208"/>
      <c r="B178" s="262" t="s">
        <v>11</v>
      </c>
      <c r="C178" s="263"/>
      <c r="D178" s="263"/>
      <c r="E178" s="263"/>
      <c r="F178" s="264"/>
      <c r="G178" s="182">
        <f>SUM(G176:G177)</f>
        <v>1</v>
      </c>
      <c r="H178" s="183" t="s">
        <v>187</v>
      </c>
      <c r="I178" s="182">
        <f>SUM(I176:I177)</f>
        <v>6300</v>
      </c>
      <c r="J178" s="182"/>
      <c r="K178" s="184">
        <f>SUM(K176:K177)</f>
        <v>4914</v>
      </c>
      <c r="L178" s="184"/>
      <c r="M178" s="184"/>
      <c r="N178" s="186"/>
    </row>
    <row r="179" spans="1:14" ht="16.5" customHeight="1">
      <c r="A179" s="201"/>
      <c r="B179" s="171">
        <v>1044</v>
      </c>
      <c r="C179" s="172">
        <v>46186</v>
      </c>
      <c r="D179" s="172">
        <v>46189</v>
      </c>
      <c r="E179" s="171">
        <v>28</v>
      </c>
      <c r="F179" s="147" t="s">
        <v>189</v>
      </c>
      <c r="G179" s="173">
        <v>4</v>
      </c>
      <c r="H179" s="174" t="s">
        <v>190</v>
      </c>
      <c r="I179" s="171">
        <v>29120</v>
      </c>
      <c r="J179" s="148">
        <v>0.61</v>
      </c>
      <c r="K179" s="179">
        <f>+I179*J179</f>
        <v>17763.2</v>
      </c>
      <c r="L179" s="176">
        <f ca="1">$L$3-C179</f>
        <v>84.550292708336201</v>
      </c>
      <c r="M179" s="176">
        <f ca="1">$L$3-D179</f>
        <v>81.550292708336201</v>
      </c>
      <c r="N179" s="177"/>
    </row>
    <row r="180" spans="1:14" ht="16.5" customHeight="1">
      <c r="B180" s="152"/>
      <c r="C180" s="153"/>
      <c r="D180" s="153"/>
      <c r="E180" s="152"/>
      <c r="F180" s="152"/>
      <c r="G180" s="152"/>
      <c r="H180" s="155"/>
      <c r="I180" s="152"/>
      <c r="J180" s="152"/>
      <c r="K180" s="152"/>
      <c r="L180" s="152"/>
      <c r="M180" s="152"/>
      <c r="N180" s="177"/>
    </row>
    <row r="181" spans="1:14" s="187" customFormat="1" ht="16.5" customHeight="1">
      <c r="A181" s="208"/>
      <c r="B181" s="262" t="s">
        <v>11</v>
      </c>
      <c r="C181" s="263"/>
      <c r="D181" s="263"/>
      <c r="E181" s="263"/>
      <c r="F181" s="264"/>
      <c r="G181" s="182">
        <f>SUM(G179:G180)</f>
        <v>4</v>
      </c>
      <c r="H181" s="183" t="s">
        <v>189</v>
      </c>
      <c r="I181" s="182">
        <f>SUM(I179:I180)</f>
        <v>29120</v>
      </c>
      <c r="J181" s="182"/>
      <c r="K181" s="184">
        <f>SUM(K179:K180)</f>
        <v>17763.2</v>
      </c>
      <c r="L181" s="184"/>
      <c r="M181" s="184"/>
      <c r="N181" s="186"/>
    </row>
    <row r="182" spans="1:14" ht="16.5" customHeight="1">
      <c r="A182" s="201"/>
      <c r="B182" s="171">
        <v>1044</v>
      </c>
      <c r="C182" s="172">
        <v>46186</v>
      </c>
      <c r="D182" s="172">
        <v>46189</v>
      </c>
      <c r="E182" s="171">
        <v>28</v>
      </c>
      <c r="F182" s="147" t="s">
        <v>191</v>
      </c>
      <c r="G182" s="173">
        <v>4</v>
      </c>
      <c r="H182" s="174" t="s">
        <v>192</v>
      </c>
      <c r="I182" s="171">
        <v>23520</v>
      </c>
      <c r="J182" s="148">
        <v>1.96</v>
      </c>
      <c r="K182" s="179">
        <f>+I182*J182</f>
        <v>46099.199999999997</v>
      </c>
      <c r="L182" s="176">
        <f ca="1">$L$3-C182</f>
        <v>84.550292708336201</v>
      </c>
      <c r="M182" s="176">
        <f ca="1">$L$3-D182</f>
        <v>81.550292708336201</v>
      </c>
      <c r="N182" s="177"/>
    </row>
    <row r="183" spans="1:14" ht="16.5" customHeight="1">
      <c r="B183" s="152"/>
      <c r="C183" s="153"/>
      <c r="D183" s="153"/>
      <c r="E183" s="152"/>
      <c r="F183" s="152"/>
      <c r="G183" s="152"/>
      <c r="H183" s="155"/>
      <c r="I183" s="152"/>
      <c r="J183" s="152"/>
      <c r="K183" s="152"/>
      <c r="L183" s="152"/>
      <c r="M183" s="152"/>
      <c r="N183" s="177"/>
    </row>
    <row r="184" spans="1:14" s="187" customFormat="1" ht="16.5" customHeight="1">
      <c r="A184" s="208"/>
      <c r="B184" s="262" t="s">
        <v>11</v>
      </c>
      <c r="C184" s="263"/>
      <c r="D184" s="263"/>
      <c r="E184" s="263"/>
      <c r="F184" s="264"/>
      <c r="G184" s="182">
        <f>SUM(G182:G183)</f>
        <v>4</v>
      </c>
      <c r="H184" s="183" t="s">
        <v>191</v>
      </c>
      <c r="I184" s="182">
        <f>SUM(I182:I183)</f>
        <v>23520</v>
      </c>
      <c r="J184" s="182"/>
      <c r="K184" s="184">
        <f>SUM(K182:K183)</f>
        <v>46099.199999999997</v>
      </c>
      <c r="L184" s="184"/>
      <c r="M184" s="184"/>
      <c r="N184" s="186"/>
    </row>
    <row r="185" spans="1:14" ht="16.5" customHeight="1">
      <c r="A185" s="201"/>
      <c r="B185" s="171">
        <v>1044</v>
      </c>
      <c r="C185" s="172">
        <v>46186</v>
      </c>
      <c r="D185" s="172">
        <v>46189</v>
      </c>
      <c r="E185" s="171">
        <v>28</v>
      </c>
      <c r="F185" s="147" t="s">
        <v>193</v>
      </c>
      <c r="G185" s="173">
        <v>1</v>
      </c>
      <c r="H185" s="174" t="s">
        <v>194</v>
      </c>
      <c r="I185" s="171">
        <v>2600</v>
      </c>
      <c r="J185" s="148">
        <v>1.53</v>
      </c>
      <c r="K185" s="179">
        <f>+I185*J185</f>
        <v>3978</v>
      </c>
      <c r="L185" s="176">
        <f ca="1">$L$3-C185</f>
        <v>84.550292708336201</v>
      </c>
      <c r="M185" s="176">
        <f ca="1">$L$3-D185</f>
        <v>81.550292708336201</v>
      </c>
      <c r="N185" s="177"/>
    </row>
    <row r="186" spans="1:14" ht="16.5" customHeight="1">
      <c r="B186" s="152"/>
      <c r="C186" s="153"/>
      <c r="D186" s="153"/>
      <c r="E186" s="152"/>
      <c r="F186" s="152"/>
      <c r="G186" s="152"/>
      <c r="H186" s="155"/>
      <c r="I186" s="152"/>
      <c r="J186" s="152"/>
      <c r="K186" s="152"/>
      <c r="L186" s="152"/>
      <c r="M186" s="152"/>
      <c r="N186" s="177"/>
    </row>
    <row r="187" spans="1:14" s="187" customFormat="1" ht="16.5" customHeight="1">
      <c r="A187" s="208"/>
      <c r="B187" s="262" t="s">
        <v>11</v>
      </c>
      <c r="C187" s="263"/>
      <c r="D187" s="263"/>
      <c r="E187" s="263"/>
      <c r="F187" s="264"/>
      <c r="G187" s="182">
        <f>SUM(G185:G186)</f>
        <v>1</v>
      </c>
      <c r="H187" s="183" t="s">
        <v>193</v>
      </c>
      <c r="I187" s="182">
        <f>SUM(I185:I186)</f>
        <v>2600</v>
      </c>
      <c r="J187" s="182"/>
      <c r="K187" s="184">
        <f>SUM(K185:K186)</f>
        <v>3978</v>
      </c>
      <c r="L187" s="184"/>
      <c r="M187" s="184"/>
      <c r="N187" s="186"/>
    </row>
    <row r="188" spans="1:14" ht="16.5" customHeight="1">
      <c r="A188" s="201"/>
      <c r="B188" s="171">
        <v>1044</v>
      </c>
      <c r="C188" s="172">
        <v>46186</v>
      </c>
      <c r="D188" s="172">
        <v>46189</v>
      </c>
      <c r="E188" s="171">
        <v>28</v>
      </c>
      <c r="F188" s="147" t="s">
        <v>195</v>
      </c>
      <c r="G188" s="173">
        <v>3</v>
      </c>
      <c r="H188" s="174" t="s">
        <v>196</v>
      </c>
      <c r="I188" s="171">
        <v>6300</v>
      </c>
      <c r="J188" s="148">
        <v>1.8</v>
      </c>
      <c r="K188" s="179">
        <f>+I188*J188</f>
        <v>11340</v>
      </c>
      <c r="L188" s="176">
        <f ca="1">$L$3-C188</f>
        <v>84.550292708336201</v>
      </c>
      <c r="M188" s="176">
        <f ca="1">$L$3-D188</f>
        <v>81.550292708336201</v>
      </c>
      <c r="N188" s="177"/>
    </row>
    <row r="189" spans="1:14" ht="16.5" customHeight="1">
      <c r="B189" s="152"/>
      <c r="C189" s="153"/>
      <c r="D189" s="153"/>
      <c r="E189" s="152"/>
      <c r="F189" s="152"/>
      <c r="G189" s="152"/>
      <c r="H189" s="155"/>
      <c r="I189" s="152"/>
      <c r="J189" s="152"/>
      <c r="K189" s="152"/>
      <c r="L189" s="152"/>
      <c r="M189" s="152"/>
      <c r="N189" s="177"/>
    </row>
    <row r="190" spans="1:14" s="187" customFormat="1" ht="16.5" customHeight="1">
      <c r="A190" s="208"/>
      <c r="B190" s="262" t="s">
        <v>11</v>
      </c>
      <c r="C190" s="263"/>
      <c r="D190" s="263"/>
      <c r="E190" s="263"/>
      <c r="F190" s="264"/>
      <c r="G190" s="182">
        <f>SUM(G188:G189)</f>
        <v>3</v>
      </c>
      <c r="H190" s="183" t="s">
        <v>195</v>
      </c>
      <c r="I190" s="182">
        <f>SUM(I188:I189)</f>
        <v>6300</v>
      </c>
      <c r="J190" s="182"/>
      <c r="K190" s="184">
        <f>SUM(K188:K189)</f>
        <v>11340</v>
      </c>
      <c r="L190" s="184"/>
      <c r="M190" s="184"/>
      <c r="N190" s="186"/>
    </row>
    <row r="191" spans="1:14" ht="16.5" customHeight="1">
      <c r="A191" s="201"/>
      <c r="B191" s="171">
        <v>1044</v>
      </c>
      <c r="C191" s="172">
        <v>46186</v>
      </c>
      <c r="D191" s="172">
        <v>46189</v>
      </c>
      <c r="E191" s="171">
        <v>28</v>
      </c>
      <c r="F191" s="147" t="s">
        <v>57</v>
      </c>
      <c r="G191" s="173">
        <v>2</v>
      </c>
      <c r="H191" s="174" t="s">
        <v>197</v>
      </c>
      <c r="I191" s="171">
        <v>7020</v>
      </c>
      <c r="J191" s="148">
        <v>1.26</v>
      </c>
      <c r="K191" s="179">
        <f>+I191*J191</f>
        <v>8845.2000000000007</v>
      </c>
      <c r="L191" s="176">
        <f ca="1">$L$3-C191</f>
        <v>84.550292708336201</v>
      </c>
      <c r="M191" s="176">
        <f ca="1">$L$3-D191</f>
        <v>81.550292708336201</v>
      </c>
      <c r="N191" s="177"/>
    </row>
    <row r="192" spans="1:14" ht="16.5" customHeight="1">
      <c r="B192" s="152"/>
      <c r="C192" s="153"/>
      <c r="D192" s="153"/>
      <c r="E192" s="152"/>
      <c r="F192" s="152"/>
      <c r="G192" s="152"/>
      <c r="H192" s="155"/>
      <c r="I192" s="152"/>
      <c r="J192" s="152"/>
      <c r="K192" s="152"/>
      <c r="L192" s="152"/>
      <c r="M192" s="152"/>
      <c r="N192" s="177"/>
    </row>
    <row r="193" spans="2:14" s="187" customFormat="1" ht="16.5" customHeight="1">
      <c r="B193" s="262" t="s">
        <v>11</v>
      </c>
      <c r="C193" s="263"/>
      <c r="D193" s="263"/>
      <c r="E193" s="263"/>
      <c r="F193" s="264"/>
      <c r="G193" s="182">
        <f>SUM(G191:G192)</f>
        <v>2</v>
      </c>
      <c r="H193" s="183" t="s">
        <v>57</v>
      </c>
      <c r="I193" s="182">
        <f>SUM(I191:I192)</f>
        <v>7020</v>
      </c>
      <c r="J193" s="182"/>
      <c r="K193" s="184">
        <f>SUM(K191:K192)</f>
        <v>8845.2000000000007</v>
      </c>
      <c r="L193" s="184"/>
      <c r="M193" s="184"/>
      <c r="N193" s="186"/>
    </row>
  </sheetData>
  <mergeCells count="55">
    <mergeCell ref="B187:F187"/>
    <mergeCell ref="B190:F190"/>
    <mergeCell ref="B193:F193"/>
    <mergeCell ref="B152:F152"/>
    <mergeCell ref="B156:F156"/>
    <mergeCell ref="B160:F160"/>
    <mergeCell ref="B163:F163"/>
    <mergeCell ref="B166:F166"/>
    <mergeCell ref="B68:F68"/>
    <mergeCell ref="B71:F71"/>
    <mergeCell ref="B74:F74"/>
    <mergeCell ref="B77:F77"/>
    <mergeCell ref="B82:F82"/>
    <mergeCell ref="B86:F86"/>
    <mergeCell ref="B89:F89"/>
    <mergeCell ref="B92:F92"/>
    <mergeCell ref="B95:F95"/>
    <mergeCell ref="B100:F100"/>
    <mergeCell ref="B103:F103"/>
    <mergeCell ref="B106:F106"/>
    <mergeCell ref="B110:F110"/>
    <mergeCell ref="B169:F169"/>
    <mergeCell ref="B172:F172"/>
    <mergeCell ref="B175:F175"/>
    <mergeCell ref="B178:F178"/>
    <mergeCell ref="B181:F181"/>
    <mergeCell ref="B184:F184"/>
    <mergeCell ref="B114:F114"/>
    <mergeCell ref="B117:F117"/>
    <mergeCell ref="B121:F121"/>
    <mergeCell ref="B125:F125"/>
    <mergeCell ref="B128:F128"/>
    <mergeCell ref="B131:F131"/>
    <mergeCell ref="B134:F134"/>
    <mergeCell ref="B137:F137"/>
    <mergeCell ref="B140:F140"/>
    <mergeCell ref="B144:F144"/>
    <mergeCell ref="B148:F148"/>
    <mergeCell ref="B51:F51"/>
    <mergeCell ref="B54:F54"/>
    <mergeCell ref="B57:F57"/>
    <mergeCell ref="B61:F61"/>
    <mergeCell ref="B65:F65"/>
    <mergeCell ref="B47:F47"/>
    <mergeCell ref="B2:N2"/>
    <mergeCell ref="B8:F8"/>
    <mergeCell ref="B11:F11"/>
    <mergeCell ref="B15:F15"/>
    <mergeCell ref="B18:F18"/>
    <mergeCell ref="B23:F23"/>
    <mergeCell ref="B28:F28"/>
    <mergeCell ref="B32:F32"/>
    <mergeCell ref="B36:F36"/>
    <mergeCell ref="B39:F39"/>
    <mergeCell ref="B44:F44"/>
  </mergeCells>
  <conditionalFormatting sqref="L142:M144 L151:M153 L163:M163 L133:M134 L136:M137 L139:M140 L130:M131 L102:M103 L105:M106 L116:M117 L127:M128 L94:M95 L88:M89 L54:M55 L57:M59 L61:M63 L70:M71 L73:M74 L76:M77 L79:M82 L47:M49 L51:M52 L6:M6 L9:M9 L12:M13 L18:M21 L23:M26 L28:M30 L32:M34 L36:M37 L39:M42 L91:M92 L65:M68 L15:M16 L84:M86 L119:M121 L97:M100 L108:M110 L112:M114 L155:M157 L159:M161 L146:M149 L123:M125 L44:M45">
    <cfRule type="cellIs" dxfId="2289" priority="1919" operator="lessThan">
      <formula>59</formula>
    </cfRule>
    <cfRule type="cellIs" dxfId="2288" priority="1920" operator="greaterThan">
      <formula>60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1:M1 L3:M3 L5:M9 L11:M13 L18:M21 L23:M26 L28:M30 L32:M34 L36:M37 L39:M42 L91:M92 L65:M68 L15:M16 L84:M86 L119:M121 L97:M100 L108:M110 L112:M114 L155:M157 L159:M161 L146:M149 L123:M125 L44:M45">
    <cfRule type="cellIs" dxfId="2287" priority="1918" operator="greaterThan">
      <formula>60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8:M9 L11:M13 L18:M21 L23:M26 L28:M30 L32:M34 L36:M37 L39:M42 L91:M92 L65:M68 L15:M16 L84:M86 L119:M121 L97:M100 L108:M110 L112:M114 L155:M157 L159:M161 L146:M149 L123:M125 L44:M45">
    <cfRule type="cellIs" dxfId="2286" priority="1915" stopIfTrue="1" operator="between">
      <formula>150</formula>
      <formula>170</formula>
    </cfRule>
    <cfRule type="cellIs" dxfId="2285" priority="1916" stopIfTrue="1" operator="lessThan">
      <formula>150</formula>
    </cfRule>
    <cfRule type="cellIs" dxfId="2284" priority="1917" stopIfTrue="1" operator="greaterThan">
      <formula>170</formula>
    </cfRule>
  </conditionalFormatting>
  <conditionalFormatting sqref="L166:M166 L164:M164">
    <cfRule type="cellIs" dxfId="2283" priority="1913" operator="lessThan">
      <formula>59</formula>
    </cfRule>
    <cfRule type="cellIs" dxfId="2282" priority="1914" operator="greaterThan">
      <formula>60</formula>
    </cfRule>
  </conditionalFormatting>
  <conditionalFormatting sqref="L166:M166 L164:M164">
    <cfRule type="cellIs" dxfId="2281" priority="1912" operator="greaterThan">
      <formula>60</formula>
    </cfRule>
  </conditionalFormatting>
  <conditionalFormatting sqref="L166:M166 L164:M164">
    <cfRule type="cellIs" dxfId="2280" priority="1909" stopIfTrue="1" operator="between">
      <formula>150</formula>
      <formula>170</formula>
    </cfRule>
    <cfRule type="cellIs" dxfId="2279" priority="1910" stopIfTrue="1" operator="lessThan">
      <formula>150</formula>
    </cfRule>
    <cfRule type="cellIs" dxfId="2278" priority="1911" stopIfTrue="1" operator="greaterThan">
      <formula>170</formula>
    </cfRule>
  </conditionalFormatting>
  <conditionalFormatting sqref="L167:M169">
    <cfRule type="cellIs" dxfId="2277" priority="1907" operator="lessThan">
      <formula>59</formula>
    </cfRule>
    <cfRule type="cellIs" dxfId="2276" priority="1908" operator="greaterThan">
      <formula>60</formula>
    </cfRule>
  </conditionalFormatting>
  <conditionalFormatting sqref="L167:M169">
    <cfRule type="cellIs" dxfId="2275" priority="1906" operator="greaterThan">
      <formula>60</formula>
    </cfRule>
  </conditionalFormatting>
  <conditionalFormatting sqref="L167:M169">
    <cfRule type="cellIs" dxfId="2274" priority="1903" stopIfTrue="1" operator="between">
      <formula>150</formula>
      <formula>170</formula>
    </cfRule>
    <cfRule type="cellIs" dxfId="2273" priority="1904" stopIfTrue="1" operator="lessThan">
      <formula>150</formula>
    </cfRule>
    <cfRule type="cellIs" dxfId="2272" priority="1905" stopIfTrue="1" operator="greaterThan">
      <formula>170</formula>
    </cfRule>
  </conditionalFormatting>
  <conditionalFormatting sqref="L172:M172 L170:M170">
    <cfRule type="cellIs" dxfId="2271" priority="1901" operator="lessThan">
      <formula>59</formula>
    </cfRule>
    <cfRule type="cellIs" dxfId="2270" priority="1902" operator="greaterThan">
      <formula>60</formula>
    </cfRule>
  </conditionalFormatting>
  <conditionalFormatting sqref="L172:M172 L170:M170">
    <cfRule type="cellIs" dxfId="2269" priority="1900" operator="greaterThan">
      <formula>60</formula>
    </cfRule>
  </conditionalFormatting>
  <conditionalFormatting sqref="L172:M172 L170:M170">
    <cfRule type="cellIs" dxfId="2268" priority="1897" stopIfTrue="1" operator="between">
      <formula>150</formula>
      <formula>170</formula>
    </cfRule>
    <cfRule type="cellIs" dxfId="2267" priority="1898" stopIfTrue="1" operator="lessThan">
      <formula>150</formula>
    </cfRule>
    <cfRule type="cellIs" dxfId="2266" priority="1899" stopIfTrue="1" operator="greaterThan">
      <formula>170</formula>
    </cfRule>
  </conditionalFormatting>
  <conditionalFormatting sqref="L173:M173 L175:M175">
    <cfRule type="cellIs" dxfId="2265" priority="1895" operator="lessThan">
      <formula>59</formula>
    </cfRule>
    <cfRule type="cellIs" dxfId="2264" priority="1896" operator="greaterThan">
      <formula>60</formula>
    </cfRule>
  </conditionalFormatting>
  <conditionalFormatting sqref="L173:M173 L175:M175">
    <cfRule type="cellIs" dxfId="2263" priority="1894" operator="greaterThan">
      <formula>60</formula>
    </cfRule>
  </conditionalFormatting>
  <conditionalFormatting sqref="L173:M173 L175:M175">
    <cfRule type="cellIs" dxfId="2262" priority="1891" stopIfTrue="1" operator="between">
      <formula>150</formula>
      <formula>170</formula>
    </cfRule>
    <cfRule type="cellIs" dxfId="2261" priority="1892" stopIfTrue="1" operator="lessThan">
      <formula>150</formula>
    </cfRule>
    <cfRule type="cellIs" dxfId="2260" priority="1893" stopIfTrue="1" operator="greaterThan">
      <formula>170</formula>
    </cfRule>
  </conditionalFormatting>
  <conditionalFormatting sqref="L176:M176 L178:M178">
    <cfRule type="cellIs" dxfId="2259" priority="1889" operator="lessThan">
      <formula>59</formula>
    </cfRule>
    <cfRule type="cellIs" dxfId="2258" priority="1890" operator="greaterThan">
      <formula>60</formula>
    </cfRule>
  </conditionalFormatting>
  <conditionalFormatting sqref="L176:M176 L178:M178">
    <cfRule type="cellIs" dxfId="2257" priority="1888" operator="greaterThan">
      <formula>60</formula>
    </cfRule>
  </conditionalFormatting>
  <conditionalFormatting sqref="L176:M176 L178:M178">
    <cfRule type="cellIs" dxfId="2256" priority="1885" stopIfTrue="1" operator="between">
      <formula>150</formula>
      <formula>170</formula>
    </cfRule>
    <cfRule type="cellIs" dxfId="2255" priority="1886" stopIfTrue="1" operator="lessThan">
      <formula>150</formula>
    </cfRule>
    <cfRule type="cellIs" dxfId="2254" priority="1887" stopIfTrue="1" operator="greaterThan">
      <formula>170</formula>
    </cfRule>
  </conditionalFormatting>
  <conditionalFormatting sqref="L179:M179 L181:M181">
    <cfRule type="cellIs" dxfId="2253" priority="1883" operator="lessThan">
      <formula>59</formula>
    </cfRule>
    <cfRule type="cellIs" dxfId="2252" priority="1884" operator="greaterThan">
      <formula>60</formula>
    </cfRule>
  </conditionalFormatting>
  <conditionalFormatting sqref="L179:M179 L181:M181">
    <cfRule type="cellIs" dxfId="2251" priority="1882" operator="greaterThan">
      <formula>60</formula>
    </cfRule>
  </conditionalFormatting>
  <conditionalFormatting sqref="L179:M179 L181:M181">
    <cfRule type="cellIs" dxfId="2250" priority="1879" stopIfTrue="1" operator="between">
      <formula>150</formula>
      <formula>170</formula>
    </cfRule>
    <cfRule type="cellIs" dxfId="2249" priority="1880" stopIfTrue="1" operator="lessThan">
      <formula>150</formula>
    </cfRule>
    <cfRule type="cellIs" dxfId="2248" priority="1881" stopIfTrue="1" operator="greaterThan">
      <formula>170</formula>
    </cfRule>
  </conditionalFormatting>
  <conditionalFormatting sqref="L182:M182 L184:M184">
    <cfRule type="cellIs" dxfId="2247" priority="1877" operator="lessThan">
      <formula>59</formula>
    </cfRule>
    <cfRule type="cellIs" dxfId="2246" priority="1878" operator="greaterThan">
      <formula>60</formula>
    </cfRule>
  </conditionalFormatting>
  <conditionalFormatting sqref="L182:M182 L184:M184">
    <cfRule type="cellIs" dxfId="2245" priority="1876" operator="greaterThan">
      <formula>60</formula>
    </cfRule>
  </conditionalFormatting>
  <conditionalFormatting sqref="L182:M182 L184:M184">
    <cfRule type="cellIs" dxfId="2244" priority="1873" stopIfTrue="1" operator="between">
      <formula>150</formula>
      <formula>170</formula>
    </cfRule>
    <cfRule type="cellIs" dxfId="2243" priority="1874" stopIfTrue="1" operator="lessThan">
      <formula>150</formula>
    </cfRule>
    <cfRule type="cellIs" dxfId="2242" priority="1875" stopIfTrue="1" operator="greaterThan">
      <formula>170</formula>
    </cfRule>
  </conditionalFormatting>
  <conditionalFormatting sqref="L185:M185 L187:M187">
    <cfRule type="cellIs" dxfId="2241" priority="1871" operator="lessThan">
      <formula>59</formula>
    </cfRule>
    <cfRule type="cellIs" dxfId="2240" priority="1872" operator="greaterThan">
      <formula>60</formula>
    </cfRule>
  </conditionalFormatting>
  <conditionalFormatting sqref="L185:M185 L187:M187">
    <cfRule type="cellIs" dxfId="2239" priority="1870" operator="greaterThan">
      <formula>60</formula>
    </cfRule>
  </conditionalFormatting>
  <conditionalFormatting sqref="L185:M185 L187:M187">
    <cfRule type="cellIs" dxfId="2238" priority="1867" stopIfTrue="1" operator="between">
      <formula>150</formula>
      <formula>170</formula>
    </cfRule>
    <cfRule type="cellIs" dxfId="2237" priority="1868" stopIfTrue="1" operator="lessThan">
      <formula>150</formula>
    </cfRule>
    <cfRule type="cellIs" dxfId="2236" priority="1869" stopIfTrue="1" operator="greaterThan">
      <formula>170</formula>
    </cfRule>
  </conditionalFormatting>
  <conditionalFormatting sqref="L188:M188 L190:M190">
    <cfRule type="cellIs" dxfId="2235" priority="1865" operator="lessThan">
      <formula>59</formula>
    </cfRule>
    <cfRule type="cellIs" dxfId="2234" priority="1866" operator="greaterThan">
      <formula>60</formula>
    </cfRule>
  </conditionalFormatting>
  <conditionalFormatting sqref="L188:M188 L190:M190">
    <cfRule type="cellIs" dxfId="2233" priority="1864" operator="greaterThan">
      <formula>60</formula>
    </cfRule>
  </conditionalFormatting>
  <conditionalFormatting sqref="L188:M188 L190:M190">
    <cfRule type="cellIs" dxfId="2232" priority="1861" stopIfTrue="1" operator="between">
      <formula>150</formula>
      <formula>170</formula>
    </cfRule>
    <cfRule type="cellIs" dxfId="2231" priority="1862" stopIfTrue="1" operator="lessThan">
      <formula>150</formula>
    </cfRule>
    <cfRule type="cellIs" dxfId="2230" priority="1863" stopIfTrue="1" operator="greaterThan">
      <formula>170</formula>
    </cfRule>
  </conditionalFormatting>
  <conditionalFormatting sqref="L193:M193 L191:M191">
    <cfRule type="cellIs" dxfId="2229" priority="1859" operator="lessThan">
      <formula>59</formula>
    </cfRule>
    <cfRule type="cellIs" dxfId="2228" priority="1860" operator="greaterThan">
      <formula>60</formula>
    </cfRule>
  </conditionalFormatting>
  <conditionalFormatting sqref="L193:M193 L191:M191">
    <cfRule type="cellIs" dxfId="2227" priority="1858" operator="greaterThan">
      <formula>60</formula>
    </cfRule>
  </conditionalFormatting>
  <conditionalFormatting sqref="L193:M193 L191:M191">
    <cfRule type="cellIs" dxfId="2226" priority="1855" stopIfTrue="1" operator="between">
      <formula>150</formula>
      <formula>170</formula>
    </cfRule>
    <cfRule type="cellIs" dxfId="2225" priority="1856" stopIfTrue="1" operator="lessThan">
      <formula>150</formula>
    </cfRule>
    <cfRule type="cellIs" dxfId="2224" priority="1857" stopIfTrue="1" operator="greaterThan">
      <formula>170</formula>
    </cfRule>
  </conditionalFormatting>
  <conditionalFormatting sqref="L196:M196 L194:M194">
    <cfRule type="cellIs" dxfId="2223" priority="1854" operator="greaterThan">
      <formula>60</formula>
    </cfRule>
  </conditionalFormatting>
  <conditionalFormatting sqref="L196:M196 L194:M194">
    <cfRule type="cellIs" dxfId="2222" priority="1851" stopIfTrue="1" operator="between">
      <formula>150</formula>
      <formula>170</formula>
    </cfRule>
    <cfRule type="cellIs" dxfId="2221" priority="1852" stopIfTrue="1" operator="lessThan">
      <formula>150</formula>
    </cfRule>
    <cfRule type="cellIs" dxfId="2220" priority="1853" stopIfTrue="1" operator="greaterThan">
      <formula>170</formula>
    </cfRule>
  </conditionalFormatting>
  <conditionalFormatting sqref="L194:M194">
    <cfRule type="cellIs" dxfId="2219" priority="1849" operator="lessThan">
      <formula>59</formula>
    </cfRule>
    <cfRule type="cellIs" dxfId="2218" priority="1850" operator="greaterThan">
      <formula>60</formula>
    </cfRule>
  </conditionalFormatting>
  <conditionalFormatting sqref="L194:M194">
    <cfRule type="cellIs" dxfId="2217" priority="1847" operator="lessThan">
      <formula>59</formula>
    </cfRule>
    <cfRule type="cellIs" dxfId="2216" priority="1848" operator="greaterThan">
      <formula>60</formula>
    </cfRule>
  </conditionalFormatting>
  <conditionalFormatting sqref="L194:M194">
    <cfRule type="cellIs" dxfId="2215" priority="1845" operator="lessThan">
      <formula>59</formula>
    </cfRule>
    <cfRule type="cellIs" dxfId="2214" priority="1846" operator="greaterThan">
      <formula>60</formula>
    </cfRule>
  </conditionalFormatting>
  <conditionalFormatting sqref="L194:M194">
    <cfRule type="cellIs" dxfId="2213" priority="1843" operator="lessThan">
      <formula>59</formula>
    </cfRule>
    <cfRule type="cellIs" dxfId="2212" priority="1844" operator="greaterThan">
      <formula>60</formula>
    </cfRule>
  </conditionalFormatting>
  <conditionalFormatting sqref="L196:M196">
    <cfRule type="cellIs" dxfId="2211" priority="1841" operator="lessThan">
      <formula>59</formula>
    </cfRule>
    <cfRule type="cellIs" dxfId="2210" priority="1842" operator="greaterThan">
      <formula>60</formula>
    </cfRule>
  </conditionalFormatting>
  <conditionalFormatting sqref="L194:M194">
    <cfRule type="cellIs" dxfId="2209" priority="1839" operator="lessThan">
      <formula>59</formula>
    </cfRule>
    <cfRule type="cellIs" dxfId="2208" priority="1840" operator="greaterThan">
      <formula>60</formula>
    </cfRule>
  </conditionalFormatting>
  <conditionalFormatting sqref="L196:M196">
    <cfRule type="cellIs" dxfId="2207" priority="1837" operator="lessThan">
      <formula>59</formula>
    </cfRule>
    <cfRule type="cellIs" dxfId="2206" priority="1838" operator="greaterThan">
      <formula>60</formula>
    </cfRule>
  </conditionalFormatting>
  <conditionalFormatting sqref="L196:M196">
    <cfRule type="cellIs" dxfId="2205" priority="1835" operator="lessThan">
      <formula>59</formula>
    </cfRule>
    <cfRule type="cellIs" dxfId="2204" priority="1836" operator="greaterThan">
      <formula>60</formula>
    </cfRule>
  </conditionalFormatting>
  <conditionalFormatting sqref="L196:M196">
    <cfRule type="cellIs" dxfId="2203" priority="1833" operator="lessThan">
      <formula>59</formula>
    </cfRule>
    <cfRule type="cellIs" dxfId="2202" priority="1834" operator="greaterThan">
      <formula>60</formula>
    </cfRule>
  </conditionalFormatting>
  <conditionalFormatting sqref="L196:M196">
    <cfRule type="cellIs" dxfId="2201" priority="1831" operator="lessThan">
      <formula>59</formula>
    </cfRule>
    <cfRule type="cellIs" dxfId="2200" priority="1832" operator="greaterThan">
      <formula>60</formula>
    </cfRule>
  </conditionalFormatting>
  <conditionalFormatting sqref="L196:M196">
    <cfRule type="cellIs" dxfId="2199" priority="1829" operator="lessThan">
      <formula>59</formula>
    </cfRule>
    <cfRule type="cellIs" dxfId="2198" priority="1830" operator="greaterThan">
      <formula>60</formula>
    </cfRule>
  </conditionalFormatting>
  <conditionalFormatting sqref="L196:M196">
    <cfRule type="cellIs" dxfId="2197" priority="1827" operator="lessThan">
      <formula>59</formula>
    </cfRule>
    <cfRule type="cellIs" dxfId="2196" priority="1828" operator="greaterThan">
      <formula>60</formula>
    </cfRule>
  </conditionalFormatting>
  <conditionalFormatting sqref="L196:M196">
    <cfRule type="cellIs" dxfId="2195" priority="1825" operator="lessThan">
      <formula>59</formula>
    </cfRule>
    <cfRule type="cellIs" dxfId="2194" priority="1826" operator="greaterThan">
      <formula>60</formula>
    </cfRule>
  </conditionalFormatting>
  <conditionalFormatting sqref="L194:M194">
    <cfRule type="cellIs" dxfId="2193" priority="1823" operator="lessThan">
      <formula>59</formula>
    </cfRule>
    <cfRule type="cellIs" dxfId="2192" priority="1824" operator="greaterThan">
      <formula>60</formula>
    </cfRule>
  </conditionalFormatting>
  <conditionalFormatting sqref="L194:M194">
    <cfRule type="cellIs" dxfId="2191" priority="1821" operator="lessThan">
      <formula>59</formula>
    </cfRule>
    <cfRule type="cellIs" dxfId="2190" priority="1822" operator="greaterThan">
      <formula>60</formula>
    </cfRule>
  </conditionalFormatting>
  <conditionalFormatting sqref="L194:M194">
    <cfRule type="cellIs" dxfId="2189" priority="1819" operator="lessThan">
      <formula>59</formula>
    </cfRule>
    <cfRule type="cellIs" dxfId="2188" priority="1820" operator="greaterThan">
      <formula>60</formula>
    </cfRule>
  </conditionalFormatting>
  <conditionalFormatting sqref="L196:M196">
    <cfRule type="cellIs" dxfId="2187" priority="1817" operator="lessThan">
      <formula>59</formula>
    </cfRule>
    <cfRule type="cellIs" dxfId="2186" priority="1818" operator="greaterThan">
      <formula>60</formula>
    </cfRule>
  </conditionalFormatting>
  <conditionalFormatting sqref="L196:M196">
    <cfRule type="cellIs" dxfId="2185" priority="1815" operator="lessThan">
      <formula>59</formula>
    </cfRule>
    <cfRule type="cellIs" dxfId="2184" priority="1816" operator="greaterThan">
      <formula>60</formula>
    </cfRule>
  </conditionalFormatting>
  <conditionalFormatting sqref="L196:M196">
    <cfRule type="cellIs" dxfId="2183" priority="1813" operator="lessThan">
      <formula>59</formula>
    </cfRule>
    <cfRule type="cellIs" dxfId="2182" priority="1814" operator="greaterThan">
      <formula>60</formula>
    </cfRule>
  </conditionalFormatting>
  <conditionalFormatting sqref="L194:M194">
    <cfRule type="cellIs" dxfId="2181" priority="1811" operator="lessThan">
      <formula>59</formula>
    </cfRule>
    <cfRule type="cellIs" dxfId="2180" priority="1812" operator="greaterThan">
      <formula>60</formula>
    </cfRule>
  </conditionalFormatting>
  <conditionalFormatting sqref="L194:M194">
    <cfRule type="cellIs" dxfId="2179" priority="1809" operator="lessThan">
      <formula>59</formula>
    </cfRule>
    <cfRule type="cellIs" dxfId="2178" priority="1810" operator="greaterThan">
      <formula>60</formula>
    </cfRule>
  </conditionalFormatting>
  <conditionalFormatting sqref="L196:M196">
    <cfRule type="cellIs" dxfId="2177" priority="1807" operator="lessThan">
      <formula>59</formula>
    </cfRule>
    <cfRule type="cellIs" dxfId="2176" priority="1808" operator="greaterThan">
      <formula>60</formula>
    </cfRule>
  </conditionalFormatting>
  <conditionalFormatting sqref="L194:M194">
    <cfRule type="cellIs" dxfId="2175" priority="1805" operator="lessThan">
      <formula>59</formula>
    </cfRule>
    <cfRule type="cellIs" dxfId="2174" priority="1806" operator="greaterThan">
      <formula>60</formula>
    </cfRule>
  </conditionalFormatting>
  <conditionalFormatting sqref="L194:M194">
    <cfRule type="cellIs" dxfId="2173" priority="1803" operator="lessThan">
      <formula>59</formula>
    </cfRule>
    <cfRule type="cellIs" dxfId="2172" priority="1804" operator="greaterThan">
      <formula>60</formula>
    </cfRule>
  </conditionalFormatting>
  <conditionalFormatting sqref="L194:M194">
    <cfRule type="cellIs" dxfId="2171" priority="1801" operator="lessThan">
      <formula>59</formula>
    </cfRule>
    <cfRule type="cellIs" dxfId="2170" priority="1802" operator="greaterThan">
      <formula>60</formula>
    </cfRule>
  </conditionalFormatting>
  <conditionalFormatting sqref="L194:M194">
    <cfRule type="cellIs" dxfId="2169" priority="1799" operator="lessThan">
      <formula>59</formula>
    </cfRule>
    <cfRule type="cellIs" dxfId="2168" priority="1800" operator="greaterThan">
      <formula>60</formula>
    </cfRule>
  </conditionalFormatting>
  <conditionalFormatting sqref="L194:M194">
    <cfRule type="cellIs" dxfId="2167" priority="1797" operator="lessThan">
      <formula>59</formula>
    </cfRule>
    <cfRule type="cellIs" dxfId="2166" priority="1798" operator="greaterThan">
      <formula>60</formula>
    </cfRule>
  </conditionalFormatting>
  <conditionalFormatting sqref="L194:M194">
    <cfRule type="cellIs" dxfId="2165" priority="1795" operator="lessThan">
      <formula>59</formula>
    </cfRule>
    <cfRule type="cellIs" dxfId="2164" priority="1796" operator="greaterThan">
      <formula>60</formula>
    </cfRule>
  </conditionalFormatting>
  <conditionalFormatting sqref="L194:M194">
    <cfRule type="cellIs" dxfId="2163" priority="1793" operator="lessThan">
      <formula>59</formula>
    </cfRule>
    <cfRule type="cellIs" dxfId="2162" priority="1794" operator="greaterThan">
      <formula>60</formula>
    </cfRule>
  </conditionalFormatting>
  <conditionalFormatting sqref="L194:M194">
    <cfRule type="cellIs" dxfId="2161" priority="1791" operator="lessThan">
      <formula>59</formula>
    </cfRule>
    <cfRule type="cellIs" dxfId="2160" priority="1792" operator="greaterThan">
      <formula>60</formula>
    </cfRule>
  </conditionalFormatting>
  <conditionalFormatting sqref="L194:M194">
    <cfRule type="cellIs" dxfId="2159" priority="1789" operator="lessThan">
      <formula>59</formula>
    </cfRule>
    <cfRule type="cellIs" dxfId="2158" priority="1790" operator="greaterThan">
      <formula>60</formula>
    </cfRule>
  </conditionalFormatting>
  <conditionalFormatting sqref="L194:M194">
    <cfRule type="cellIs" dxfId="2157" priority="1787" operator="lessThan">
      <formula>59</formula>
    </cfRule>
    <cfRule type="cellIs" dxfId="2156" priority="1788" operator="greaterThan">
      <formula>60</formula>
    </cfRule>
  </conditionalFormatting>
  <conditionalFormatting sqref="L194:M194">
    <cfRule type="cellIs" dxfId="2155" priority="1785" operator="lessThan">
      <formula>59</formula>
    </cfRule>
    <cfRule type="cellIs" dxfId="2154" priority="1786" operator="greaterThan">
      <formula>60</formula>
    </cfRule>
  </conditionalFormatting>
  <conditionalFormatting sqref="L194:M194">
    <cfRule type="cellIs" dxfId="2153" priority="1783" operator="lessThan">
      <formula>59</formula>
    </cfRule>
    <cfRule type="cellIs" dxfId="2152" priority="1784" operator="greaterThan">
      <formula>60</formula>
    </cfRule>
  </conditionalFormatting>
  <conditionalFormatting sqref="L196:M196">
    <cfRule type="cellIs" dxfId="2151" priority="1781" operator="lessThan">
      <formula>59</formula>
    </cfRule>
    <cfRule type="cellIs" dxfId="2150" priority="1782" operator="greaterThan">
      <formula>60</formula>
    </cfRule>
  </conditionalFormatting>
  <conditionalFormatting sqref="L194:M194">
    <cfRule type="cellIs" dxfId="2149" priority="1779" operator="lessThan">
      <formula>59</formula>
    </cfRule>
    <cfRule type="cellIs" dxfId="2148" priority="1780" operator="greaterThan">
      <formula>60</formula>
    </cfRule>
  </conditionalFormatting>
  <conditionalFormatting sqref="L196:M196">
    <cfRule type="cellIs" dxfId="2147" priority="1777" operator="lessThan">
      <formula>59</formula>
    </cfRule>
    <cfRule type="cellIs" dxfId="2146" priority="1778" operator="greaterThan">
      <formula>60</formula>
    </cfRule>
  </conditionalFormatting>
  <conditionalFormatting sqref="L196:M196">
    <cfRule type="cellIs" dxfId="2145" priority="1775" operator="lessThan">
      <formula>59</formula>
    </cfRule>
    <cfRule type="cellIs" dxfId="2144" priority="1776" operator="greaterThan">
      <formula>60</formula>
    </cfRule>
  </conditionalFormatting>
  <conditionalFormatting sqref="L196:M196">
    <cfRule type="cellIs" dxfId="2143" priority="1773" operator="lessThan">
      <formula>59</formula>
    </cfRule>
    <cfRule type="cellIs" dxfId="2142" priority="1774" operator="greaterThan">
      <formula>60</formula>
    </cfRule>
  </conditionalFormatting>
  <conditionalFormatting sqref="L196:M196">
    <cfRule type="cellIs" dxfId="2141" priority="1771" operator="lessThan">
      <formula>59</formula>
    </cfRule>
    <cfRule type="cellIs" dxfId="2140" priority="1772" operator="greaterThan">
      <formula>60</formula>
    </cfRule>
  </conditionalFormatting>
  <conditionalFormatting sqref="L196:M196">
    <cfRule type="cellIs" dxfId="2139" priority="1769" operator="lessThan">
      <formula>59</formula>
    </cfRule>
    <cfRule type="cellIs" dxfId="2138" priority="1770" operator="greaterThan">
      <formula>60</formula>
    </cfRule>
  </conditionalFormatting>
  <conditionalFormatting sqref="L196:M196">
    <cfRule type="cellIs" dxfId="2137" priority="1767" operator="lessThan">
      <formula>59</formula>
    </cfRule>
    <cfRule type="cellIs" dxfId="2136" priority="1768" operator="greaterThan">
      <formula>60</formula>
    </cfRule>
  </conditionalFormatting>
  <conditionalFormatting sqref="L196:M196">
    <cfRule type="cellIs" dxfId="2135" priority="1765" operator="lessThan">
      <formula>59</formula>
    </cfRule>
    <cfRule type="cellIs" dxfId="2134" priority="1766" operator="greaterThan">
      <formula>60</formula>
    </cfRule>
  </conditionalFormatting>
  <conditionalFormatting sqref="L194:M194">
    <cfRule type="cellIs" dxfId="2133" priority="1763" operator="lessThan">
      <formula>59</formula>
    </cfRule>
    <cfRule type="cellIs" dxfId="2132" priority="1764" operator="greaterThan">
      <formula>60</formula>
    </cfRule>
  </conditionalFormatting>
  <conditionalFormatting sqref="L194:M194">
    <cfRule type="cellIs" dxfId="2131" priority="1761" operator="lessThan">
      <formula>59</formula>
    </cfRule>
    <cfRule type="cellIs" dxfId="2130" priority="1762" operator="greaterThan">
      <formula>60</formula>
    </cfRule>
  </conditionalFormatting>
  <conditionalFormatting sqref="L194:M194">
    <cfRule type="cellIs" dxfId="2129" priority="1759" operator="lessThan">
      <formula>59</formula>
    </cfRule>
    <cfRule type="cellIs" dxfId="2128" priority="1760" operator="greaterThan">
      <formula>60</formula>
    </cfRule>
  </conditionalFormatting>
  <conditionalFormatting sqref="L194:M194">
    <cfRule type="cellIs" dxfId="2127" priority="1757" operator="lessThan">
      <formula>59</formula>
    </cfRule>
    <cfRule type="cellIs" dxfId="2126" priority="1758" operator="greaterThan">
      <formula>60</formula>
    </cfRule>
  </conditionalFormatting>
  <conditionalFormatting sqref="L194:M194">
    <cfRule type="cellIs" dxfId="2125" priority="1755" operator="lessThan">
      <formula>59</formula>
    </cfRule>
    <cfRule type="cellIs" dxfId="2124" priority="1756" operator="greaterThan">
      <formula>60</formula>
    </cfRule>
  </conditionalFormatting>
  <conditionalFormatting sqref="L194:M194">
    <cfRule type="cellIs" dxfId="2123" priority="1753" operator="lessThan">
      <formula>59</formula>
    </cfRule>
    <cfRule type="cellIs" dxfId="2122" priority="1754" operator="greaterThan">
      <formula>60</formula>
    </cfRule>
  </conditionalFormatting>
  <conditionalFormatting sqref="L194:M194">
    <cfRule type="cellIs" dxfId="2121" priority="1751" operator="lessThan">
      <formula>59</formula>
    </cfRule>
    <cfRule type="cellIs" dxfId="2120" priority="1752" operator="greaterThan">
      <formula>60</formula>
    </cfRule>
  </conditionalFormatting>
  <conditionalFormatting sqref="L194:M194">
    <cfRule type="cellIs" dxfId="2119" priority="1749" operator="lessThan">
      <formula>59</formula>
    </cfRule>
    <cfRule type="cellIs" dxfId="2118" priority="1750" operator="greaterThan">
      <formula>60</formula>
    </cfRule>
  </conditionalFormatting>
  <conditionalFormatting sqref="L196:M196">
    <cfRule type="cellIs" dxfId="2117" priority="1747" operator="lessThan">
      <formula>59</formula>
    </cfRule>
    <cfRule type="cellIs" dxfId="2116" priority="1748" operator="greaterThan">
      <formula>60</formula>
    </cfRule>
  </conditionalFormatting>
  <conditionalFormatting sqref="L196:M196">
    <cfRule type="cellIs" dxfId="2115" priority="1745" operator="lessThan">
      <formula>59</formula>
    </cfRule>
    <cfRule type="cellIs" dxfId="2114" priority="1746" operator="greaterThan">
      <formula>60</formula>
    </cfRule>
  </conditionalFormatting>
  <conditionalFormatting sqref="L194:M194">
    <cfRule type="cellIs" dxfId="2113" priority="1743" operator="lessThan">
      <formula>59</formula>
    </cfRule>
    <cfRule type="cellIs" dxfId="2112" priority="1744" operator="greaterThan">
      <formula>60</formula>
    </cfRule>
  </conditionalFormatting>
  <conditionalFormatting sqref="L194:M194">
    <cfRule type="cellIs" dxfId="2111" priority="1741" operator="lessThan">
      <formula>59</formula>
    </cfRule>
    <cfRule type="cellIs" dxfId="2110" priority="1742" operator="greaterThan">
      <formula>60</formula>
    </cfRule>
  </conditionalFormatting>
  <conditionalFormatting sqref="L194:M194">
    <cfRule type="cellIs" dxfId="2109" priority="1739" operator="lessThan">
      <formula>59</formula>
    </cfRule>
    <cfRule type="cellIs" dxfId="2108" priority="1740" operator="greaterThan">
      <formula>60</formula>
    </cfRule>
  </conditionalFormatting>
  <conditionalFormatting sqref="L194:M194">
    <cfRule type="cellIs" dxfId="2107" priority="1737" operator="lessThan">
      <formula>59</formula>
    </cfRule>
    <cfRule type="cellIs" dxfId="2106" priority="1738" operator="greaterThan">
      <formula>60</formula>
    </cfRule>
  </conditionalFormatting>
  <conditionalFormatting sqref="L196:M196">
    <cfRule type="cellIs" dxfId="2105" priority="1735" operator="lessThan">
      <formula>59</formula>
    </cfRule>
    <cfRule type="cellIs" dxfId="2104" priority="1736" operator="greaterThan">
      <formula>60</formula>
    </cfRule>
  </conditionalFormatting>
  <conditionalFormatting sqref="L196:M196">
    <cfRule type="cellIs" dxfId="2103" priority="1733" operator="lessThan">
      <formula>59</formula>
    </cfRule>
    <cfRule type="cellIs" dxfId="2102" priority="1734" operator="greaterThan">
      <formula>60</formula>
    </cfRule>
  </conditionalFormatting>
  <conditionalFormatting sqref="L196:M196">
    <cfRule type="cellIs" dxfId="2101" priority="1731" operator="lessThan">
      <formula>59</formula>
    </cfRule>
    <cfRule type="cellIs" dxfId="2100" priority="1732" operator="greaterThan">
      <formula>60</formula>
    </cfRule>
  </conditionalFormatting>
  <conditionalFormatting sqref="L196:M196">
    <cfRule type="cellIs" dxfId="2099" priority="1729" operator="lessThan">
      <formula>59</formula>
    </cfRule>
    <cfRule type="cellIs" dxfId="2098" priority="1730" operator="greaterThan">
      <formula>60</formula>
    </cfRule>
  </conditionalFormatting>
  <conditionalFormatting sqref="L196:M196">
    <cfRule type="cellIs" dxfId="2097" priority="1727" operator="lessThan">
      <formula>59</formula>
    </cfRule>
    <cfRule type="cellIs" dxfId="2096" priority="1728" operator="greaterThan">
      <formula>60</formula>
    </cfRule>
  </conditionalFormatting>
  <conditionalFormatting sqref="L196:M196">
    <cfRule type="cellIs" dxfId="2095" priority="1725" operator="lessThan">
      <formula>59</formula>
    </cfRule>
    <cfRule type="cellIs" dxfId="2094" priority="1726" operator="greaterThan">
      <formula>60</formula>
    </cfRule>
  </conditionalFormatting>
  <conditionalFormatting sqref="L196:M196">
    <cfRule type="cellIs" dxfId="2093" priority="1723" operator="lessThan">
      <formula>59</formula>
    </cfRule>
    <cfRule type="cellIs" dxfId="2092" priority="1724" operator="greaterThan">
      <formula>60</formula>
    </cfRule>
  </conditionalFormatting>
  <conditionalFormatting sqref="L196:M196">
    <cfRule type="cellIs" dxfId="2091" priority="1721" operator="lessThan">
      <formula>59</formula>
    </cfRule>
    <cfRule type="cellIs" dxfId="2090" priority="1722" operator="greaterThan">
      <formula>60</formula>
    </cfRule>
  </conditionalFormatting>
  <conditionalFormatting sqref="L194:M194">
    <cfRule type="cellIs" dxfId="2089" priority="1719" operator="lessThan">
      <formula>59</formula>
    </cfRule>
    <cfRule type="cellIs" dxfId="2088" priority="1720" operator="greaterThan">
      <formula>60</formula>
    </cfRule>
  </conditionalFormatting>
  <conditionalFormatting sqref="L194:M194">
    <cfRule type="cellIs" dxfId="2087" priority="1717" operator="lessThan">
      <formula>59</formula>
    </cfRule>
    <cfRule type="cellIs" dxfId="2086" priority="1718" operator="greaterThan">
      <formula>60</formula>
    </cfRule>
  </conditionalFormatting>
  <conditionalFormatting sqref="L194:M194">
    <cfRule type="cellIs" dxfId="2085" priority="1715" operator="lessThan">
      <formula>59</formula>
    </cfRule>
    <cfRule type="cellIs" dxfId="2084" priority="1716" operator="greaterThan">
      <formula>60</formula>
    </cfRule>
  </conditionalFormatting>
  <conditionalFormatting sqref="L194:M194">
    <cfRule type="cellIs" dxfId="2083" priority="1713" operator="lessThan">
      <formula>59</formula>
    </cfRule>
    <cfRule type="cellIs" dxfId="2082" priority="1714" operator="greaterThan">
      <formula>60</formula>
    </cfRule>
  </conditionalFormatting>
  <conditionalFormatting sqref="L194:M194">
    <cfRule type="cellIs" dxfId="2081" priority="1711" operator="lessThan">
      <formula>59</formula>
    </cfRule>
    <cfRule type="cellIs" dxfId="2080" priority="1712" operator="greaterThan">
      <formula>60</formula>
    </cfRule>
  </conditionalFormatting>
  <conditionalFormatting sqref="L194:M194">
    <cfRule type="cellIs" dxfId="2079" priority="1709" operator="lessThan">
      <formula>59</formula>
    </cfRule>
    <cfRule type="cellIs" dxfId="2078" priority="1710" operator="greaterThan">
      <formula>60</formula>
    </cfRule>
  </conditionalFormatting>
  <conditionalFormatting sqref="L194:M194">
    <cfRule type="cellIs" dxfId="2077" priority="1707" operator="lessThan">
      <formula>59</formula>
    </cfRule>
    <cfRule type="cellIs" dxfId="2076" priority="1708" operator="greaterThan">
      <formula>60</formula>
    </cfRule>
  </conditionalFormatting>
  <conditionalFormatting sqref="L194:M194">
    <cfRule type="cellIs" dxfId="2075" priority="1705" operator="lessThan">
      <formula>59</formula>
    </cfRule>
    <cfRule type="cellIs" dxfId="2074" priority="1706" operator="greaterThan">
      <formula>60</formula>
    </cfRule>
  </conditionalFormatting>
  <conditionalFormatting sqref="L194:M194">
    <cfRule type="cellIs" dxfId="2073" priority="1703" operator="lessThan">
      <formula>59</formula>
    </cfRule>
    <cfRule type="cellIs" dxfId="2072" priority="1704" operator="greaterThan">
      <formula>60</formula>
    </cfRule>
  </conditionalFormatting>
  <conditionalFormatting sqref="L196:M196">
    <cfRule type="cellIs" dxfId="2071" priority="1701" operator="lessThan">
      <formula>59</formula>
    </cfRule>
    <cfRule type="cellIs" dxfId="2070" priority="1702" operator="greaterThan">
      <formula>60</formula>
    </cfRule>
  </conditionalFormatting>
  <conditionalFormatting sqref="L196:M196">
    <cfRule type="cellIs" dxfId="2069" priority="1699" operator="lessThan">
      <formula>59</formula>
    </cfRule>
    <cfRule type="cellIs" dxfId="2068" priority="1700" operator="greaterThan">
      <formula>60</formula>
    </cfRule>
  </conditionalFormatting>
  <conditionalFormatting sqref="L194:M194">
    <cfRule type="cellIs" dxfId="2067" priority="1697" operator="lessThan">
      <formula>59</formula>
    </cfRule>
    <cfRule type="cellIs" dxfId="2066" priority="1698" operator="greaterThan">
      <formula>60</formula>
    </cfRule>
  </conditionalFormatting>
  <conditionalFormatting sqref="L196:M196">
    <cfRule type="cellIs" dxfId="2065" priority="1695" operator="lessThan">
      <formula>59</formula>
    </cfRule>
    <cfRule type="cellIs" dxfId="2064" priority="1696" operator="greaterThan">
      <formula>60</formula>
    </cfRule>
  </conditionalFormatting>
  <conditionalFormatting sqref="L196:M196">
    <cfRule type="cellIs" dxfId="2063" priority="1693" operator="lessThan">
      <formula>59</formula>
    </cfRule>
    <cfRule type="cellIs" dxfId="2062" priority="1694" operator="greaterThan">
      <formula>60</formula>
    </cfRule>
  </conditionalFormatting>
  <conditionalFormatting sqref="L196:M196">
    <cfRule type="cellIs" dxfId="2061" priority="1691" operator="lessThan">
      <formula>59</formula>
    </cfRule>
    <cfRule type="cellIs" dxfId="2060" priority="1692" operator="greaterThan">
      <formula>60</formula>
    </cfRule>
  </conditionalFormatting>
  <conditionalFormatting sqref="L194:M194">
    <cfRule type="cellIs" dxfId="2059" priority="1689" operator="lessThan">
      <formula>59</formula>
    </cfRule>
    <cfRule type="cellIs" dxfId="2058" priority="1690" operator="greaterThan">
      <formula>60</formula>
    </cfRule>
  </conditionalFormatting>
  <conditionalFormatting sqref="L194:M194">
    <cfRule type="cellIs" dxfId="2057" priority="1687" operator="lessThan">
      <formula>59</formula>
    </cfRule>
    <cfRule type="cellIs" dxfId="2056" priority="1688" operator="greaterThan">
      <formula>60</formula>
    </cfRule>
  </conditionalFormatting>
  <conditionalFormatting sqref="L194:M194">
    <cfRule type="cellIs" dxfId="2055" priority="1685" operator="lessThan">
      <formula>59</formula>
    </cfRule>
    <cfRule type="cellIs" dxfId="2054" priority="1686" operator="greaterThan">
      <formula>60</formula>
    </cfRule>
  </conditionalFormatting>
  <conditionalFormatting sqref="L194:M194">
    <cfRule type="cellIs" dxfId="2053" priority="1683" operator="lessThan">
      <formula>59</formula>
    </cfRule>
    <cfRule type="cellIs" dxfId="2052" priority="1684" operator="greaterThan">
      <formula>60</formula>
    </cfRule>
  </conditionalFormatting>
  <conditionalFormatting sqref="L194:M194">
    <cfRule type="cellIs" dxfId="2051" priority="1681" operator="lessThan">
      <formula>59</formula>
    </cfRule>
    <cfRule type="cellIs" dxfId="2050" priority="1682" operator="greaterThan">
      <formula>60</formula>
    </cfRule>
  </conditionalFormatting>
  <conditionalFormatting sqref="L194:M194">
    <cfRule type="cellIs" dxfId="2049" priority="1679" operator="lessThan">
      <formula>59</formula>
    </cfRule>
    <cfRule type="cellIs" dxfId="2048" priority="1680" operator="greaterThan">
      <formula>60</formula>
    </cfRule>
  </conditionalFormatting>
  <conditionalFormatting sqref="L194:M194">
    <cfRule type="cellIs" dxfId="2047" priority="1677" operator="lessThan">
      <formula>59</formula>
    </cfRule>
    <cfRule type="cellIs" dxfId="2046" priority="1678" operator="greaterThan">
      <formula>60</formula>
    </cfRule>
  </conditionalFormatting>
  <conditionalFormatting sqref="L194:M194">
    <cfRule type="cellIs" dxfId="2045" priority="1675" operator="lessThan">
      <formula>59</formula>
    </cfRule>
    <cfRule type="cellIs" dxfId="2044" priority="1676" operator="greaterThan">
      <formula>60</formula>
    </cfRule>
  </conditionalFormatting>
  <conditionalFormatting sqref="L194:M194">
    <cfRule type="cellIs" dxfId="2043" priority="1673" operator="lessThan">
      <formula>59</formula>
    </cfRule>
    <cfRule type="cellIs" dxfId="2042" priority="1674" operator="greaterThan">
      <formula>60</formula>
    </cfRule>
  </conditionalFormatting>
  <conditionalFormatting sqref="L194:M194">
    <cfRule type="cellIs" dxfId="2041" priority="1671" operator="lessThan">
      <formula>59</formula>
    </cfRule>
    <cfRule type="cellIs" dxfId="2040" priority="1672" operator="greaterThan">
      <formula>60</formula>
    </cfRule>
  </conditionalFormatting>
  <conditionalFormatting sqref="L196:M196">
    <cfRule type="cellIs" dxfId="2039" priority="1669" operator="lessThan">
      <formula>59</formula>
    </cfRule>
    <cfRule type="cellIs" dxfId="2038" priority="1670" operator="greaterThan">
      <formula>60</formula>
    </cfRule>
  </conditionalFormatting>
  <conditionalFormatting sqref="L196:M196">
    <cfRule type="cellIs" dxfId="2037" priority="1667" operator="lessThan">
      <formula>59</formula>
    </cfRule>
    <cfRule type="cellIs" dxfId="2036" priority="1668" operator="greaterThan">
      <formula>60</formula>
    </cfRule>
  </conditionalFormatting>
  <conditionalFormatting sqref="L194:M194">
    <cfRule type="cellIs" dxfId="2035" priority="1665" operator="lessThan">
      <formula>59</formula>
    </cfRule>
    <cfRule type="cellIs" dxfId="2034" priority="1666" operator="greaterThan">
      <formula>60</formula>
    </cfRule>
  </conditionalFormatting>
  <conditionalFormatting sqref="L194:M194">
    <cfRule type="cellIs" dxfId="2033" priority="1663" operator="lessThan">
      <formula>59</formula>
    </cfRule>
    <cfRule type="cellIs" dxfId="2032" priority="1664" operator="greaterThan">
      <formula>60</formula>
    </cfRule>
  </conditionalFormatting>
  <conditionalFormatting sqref="L194:M194">
    <cfRule type="cellIs" dxfId="2031" priority="1661" operator="lessThan">
      <formula>59</formula>
    </cfRule>
    <cfRule type="cellIs" dxfId="2030" priority="1662" operator="greaterThan">
      <formula>60</formula>
    </cfRule>
  </conditionalFormatting>
  <conditionalFormatting sqref="L194:M194">
    <cfRule type="cellIs" dxfId="2029" priority="1659" operator="lessThan">
      <formula>59</formula>
    </cfRule>
    <cfRule type="cellIs" dxfId="2028" priority="1660" operator="greaterThan">
      <formula>60</formula>
    </cfRule>
  </conditionalFormatting>
  <conditionalFormatting sqref="L196:M196">
    <cfRule type="cellIs" dxfId="2027" priority="1657" operator="lessThan">
      <formula>59</formula>
    </cfRule>
    <cfRule type="cellIs" dxfId="2026" priority="1658" operator="greaterThan">
      <formula>60</formula>
    </cfRule>
  </conditionalFormatting>
  <conditionalFormatting sqref="L196:M196">
    <cfRule type="cellIs" dxfId="2025" priority="1655" operator="lessThan">
      <formula>59</formula>
    </cfRule>
    <cfRule type="cellIs" dxfId="2024" priority="1656" operator="greaterThan">
      <formula>60</formula>
    </cfRule>
  </conditionalFormatting>
  <conditionalFormatting sqref="L196:M196">
    <cfRule type="cellIs" dxfId="2023" priority="1653" operator="lessThan">
      <formula>59</formula>
    </cfRule>
    <cfRule type="cellIs" dxfId="2022" priority="1654" operator="greaterThan">
      <formula>60</formula>
    </cfRule>
  </conditionalFormatting>
  <conditionalFormatting sqref="L196:M196">
    <cfRule type="cellIs" dxfId="2021" priority="1651" operator="lessThan">
      <formula>59</formula>
    </cfRule>
    <cfRule type="cellIs" dxfId="2020" priority="1652" operator="greaterThan">
      <formula>60</formula>
    </cfRule>
  </conditionalFormatting>
  <conditionalFormatting sqref="L196:M196">
    <cfRule type="cellIs" dxfId="2019" priority="1649" operator="lessThan">
      <formula>59</formula>
    </cfRule>
    <cfRule type="cellIs" dxfId="2018" priority="1650" operator="greaterThan">
      <formula>60</formula>
    </cfRule>
  </conditionalFormatting>
  <conditionalFormatting sqref="L196:M196">
    <cfRule type="cellIs" dxfId="2017" priority="1647" operator="lessThan">
      <formula>59</formula>
    </cfRule>
    <cfRule type="cellIs" dxfId="2016" priority="1648" operator="greaterThan">
      <formula>60</formula>
    </cfRule>
  </conditionalFormatting>
  <conditionalFormatting sqref="L196:M196">
    <cfRule type="cellIs" dxfId="2015" priority="1645" operator="lessThan">
      <formula>59</formula>
    </cfRule>
    <cfRule type="cellIs" dxfId="2014" priority="1646" operator="greaterThan">
      <formula>60</formula>
    </cfRule>
  </conditionalFormatting>
  <conditionalFormatting sqref="L196:M196">
    <cfRule type="cellIs" dxfId="2013" priority="1643" operator="lessThan">
      <formula>59</formula>
    </cfRule>
    <cfRule type="cellIs" dxfId="2012" priority="1644" operator="greaterThan">
      <formula>60</formula>
    </cfRule>
  </conditionalFormatting>
  <conditionalFormatting sqref="L194:M194">
    <cfRule type="cellIs" dxfId="2011" priority="1641" operator="lessThan">
      <formula>59</formula>
    </cfRule>
    <cfRule type="cellIs" dxfId="2010" priority="1642" operator="greaterThan">
      <formula>60</formula>
    </cfRule>
  </conditionalFormatting>
  <conditionalFormatting sqref="L194:M194">
    <cfRule type="cellIs" dxfId="2009" priority="1639" operator="lessThan">
      <formula>59</formula>
    </cfRule>
    <cfRule type="cellIs" dxfId="2008" priority="1640" operator="greaterThan">
      <formula>60</formula>
    </cfRule>
  </conditionalFormatting>
  <conditionalFormatting sqref="L194:M194">
    <cfRule type="cellIs" dxfId="2007" priority="1637" operator="lessThan">
      <formula>59</formula>
    </cfRule>
    <cfRule type="cellIs" dxfId="2006" priority="1638" operator="greaterThan">
      <formula>60</formula>
    </cfRule>
  </conditionalFormatting>
  <conditionalFormatting sqref="L194:M194">
    <cfRule type="cellIs" dxfId="2005" priority="1635" operator="lessThan">
      <formula>59</formula>
    </cfRule>
    <cfRule type="cellIs" dxfId="2004" priority="1636" operator="greaterThan">
      <formula>60</formula>
    </cfRule>
  </conditionalFormatting>
  <conditionalFormatting sqref="L194:M194">
    <cfRule type="cellIs" dxfId="2003" priority="1633" operator="lessThan">
      <formula>59</formula>
    </cfRule>
    <cfRule type="cellIs" dxfId="2002" priority="1634" operator="greaterThan">
      <formula>60</formula>
    </cfRule>
  </conditionalFormatting>
  <conditionalFormatting sqref="L194:M194">
    <cfRule type="cellIs" dxfId="2001" priority="1631" operator="lessThan">
      <formula>59</formula>
    </cfRule>
    <cfRule type="cellIs" dxfId="2000" priority="1632" operator="greaterThan">
      <formula>60</formula>
    </cfRule>
  </conditionalFormatting>
  <conditionalFormatting sqref="L194:M194">
    <cfRule type="cellIs" dxfId="1999" priority="1629" operator="lessThan">
      <formula>59</formula>
    </cfRule>
    <cfRule type="cellIs" dxfId="1998" priority="1630" operator="greaterThan">
      <formula>60</formula>
    </cfRule>
  </conditionalFormatting>
  <conditionalFormatting sqref="L194:M194">
    <cfRule type="cellIs" dxfId="1997" priority="1627" operator="lessThan">
      <formula>59</formula>
    </cfRule>
    <cfRule type="cellIs" dxfId="1996" priority="1628" operator="greaterThan">
      <formula>60</formula>
    </cfRule>
  </conditionalFormatting>
  <conditionalFormatting sqref="L194:M194">
    <cfRule type="cellIs" dxfId="1995" priority="1626" operator="greaterThan">
      <formula>60</formula>
    </cfRule>
  </conditionalFormatting>
  <conditionalFormatting sqref="L194:M194">
    <cfRule type="cellIs" dxfId="1994" priority="1623" stopIfTrue="1" operator="between">
      <formula>150</formula>
      <formula>170</formula>
    </cfRule>
    <cfRule type="cellIs" dxfId="1993" priority="1624" stopIfTrue="1" operator="lessThan">
      <formula>150</formula>
    </cfRule>
    <cfRule type="cellIs" dxfId="1992" priority="1625" stopIfTrue="1" operator="greaterThan">
      <formula>170</formula>
    </cfRule>
  </conditionalFormatting>
  <conditionalFormatting sqref="L194:M194">
    <cfRule type="cellIs" dxfId="1991" priority="1621" operator="lessThan">
      <formula>59</formula>
    </cfRule>
    <cfRule type="cellIs" dxfId="1990" priority="1622" operator="greaterThan">
      <formula>60</formula>
    </cfRule>
  </conditionalFormatting>
  <conditionalFormatting sqref="L194:M194">
    <cfRule type="cellIs" dxfId="1989" priority="1620" operator="greaterThan">
      <formula>60</formula>
    </cfRule>
  </conditionalFormatting>
  <conditionalFormatting sqref="L194:M194">
    <cfRule type="cellIs" dxfId="1988" priority="1617" stopIfTrue="1" operator="between">
      <formula>150</formula>
      <formula>170</formula>
    </cfRule>
    <cfRule type="cellIs" dxfId="1987" priority="1618" stopIfTrue="1" operator="lessThan">
      <formula>150</formula>
    </cfRule>
    <cfRule type="cellIs" dxfId="1986" priority="1619" stopIfTrue="1" operator="greaterThan">
      <formula>170</formula>
    </cfRule>
  </conditionalFormatting>
  <conditionalFormatting sqref="L194:M194">
    <cfRule type="cellIs" dxfId="1985" priority="1615" operator="lessThan">
      <formula>59</formula>
    </cfRule>
    <cfRule type="cellIs" dxfId="1984" priority="1616" operator="greaterThan">
      <formula>60</formula>
    </cfRule>
  </conditionalFormatting>
  <conditionalFormatting sqref="L194:M194">
    <cfRule type="cellIs" dxfId="1983" priority="1614" operator="greaterThan">
      <formula>60</formula>
    </cfRule>
  </conditionalFormatting>
  <conditionalFormatting sqref="L194:M194">
    <cfRule type="cellIs" dxfId="1982" priority="1611" stopIfTrue="1" operator="between">
      <formula>150</formula>
      <formula>170</formula>
    </cfRule>
    <cfRule type="cellIs" dxfId="1981" priority="1612" stopIfTrue="1" operator="lessThan">
      <formula>150</formula>
    </cfRule>
    <cfRule type="cellIs" dxfId="1980" priority="1613" stopIfTrue="1" operator="greaterThan">
      <formula>170</formula>
    </cfRule>
  </conditionalFormatting>
  <conditionalFormatting sqref="L194:M194">
    <cfRule type="cellIs" dxfId="1979" priority="1609" operator="lessThan">
      <formula>59</formula>
    </cfRule>
    <cfRule type="cellIs" dxfId="1978" priority="1610" operator="greaterThan">
      <formula>60</formula>
    </cfRule>
  </conditionalFormatting>
  <conditionalFormatting sqref="L194:M194">
    <cfRule type="cellIs" dxfId="1977" priority="1608" operator="greaterThan">
      <formula>60</formula>
    </cfRule>
  </conditionalFormatting>
  <conditionalFormatting sqref="L194:M194">
    <cfRule type="cellIs" dxfId="1976" priority="1606" operator="lessThan">
      <formula>59</formula>
    </cfRule>
    <cfRule type="cellIs" dxfId="1975" priority="1607" operator="greaterThan">
      <formula>60</formula>
    </cfRule>
  </conditionalFormatting>
  <conditionalFormatting sqref="L194:M194">
    <cfRule type="cellIs" dxfId="1974" priority="1605" operator="greaterThan">
      <formula>60</formula>
    </cfRule>
  </conditionalFormatting>
  <conditionalFormatting sqref="L194:M194">
    <cfRule type="cellIs" dxfId="1973" priority="1603" operator="lessThan">
      <formula>59</formula>
    </cfRule>
    <cfRule type="cellIs" dxfId="1972" priority="1604" operator="greaterThan">
      <formula>60</formula>
    </cfRule>
  </conditionalFormatting>
  <conditionalFormatting sqref="L194:M194">
    <cfRule type="cellIs" dxfId="1971" priority="1602" operator="greaterThan">
      <formula>60</formula>
    </cfRule>
  </conditionalFormatting>
  <conditionalFormatting sqref="L194:M194">
    <cfRule type="cellIs" dxfId="1970" priority="1599" stopIfTrue="1" operator="between">
      <formula>150</formula>
      <formula>170</formula>
    </cfRule>
    <cfRule type="cellIs" dxfId="1969" priority="1600" stopIfTrue="1" operator="lessThan">
      <formula>150</formula>
    </cfRule>
    <cfRule type="cellIs" dxfId="1968" priority="1601" stopIfTrue="1" operator="greaterThan">
      <formula>170</formula>
    </cfRule>
  </conditionalFormatting>
  <conditionalFormatting sqref="L194:M194">
    <cfRule type="cellIs" dxfId="1967" priority="1597" operator="lessThan">
      <formula>59</formula>
    </cfRule>
    <cfRule type="cellIs" dxfId="1966" priority="1598" operator="greaterThan">
      <formula>60</formula>
    </cfRule>
  </conditionalFormatting>
  <conditionalFormatting sqref="L194:M194">
    <cfRule type="cellIs" dxfId="1965" priority="1596" operator="greaterThan">
      <formula>60</formula>
    </cfRule>
  </conditionalFormatting>
  <conditionalFormatting sqref="L194:M194">
    <cfRule type="cellIs" dxfId="1964" priority="1594" operator="lessThan">
      <formula>59</formula>
    </cfRule>
    <cfRule type="cellIs" dxfId="1963" priority="1595" operator="greaterThan">
      <formula>60</formula>
    </cfRule>
  </conditionalFormatting>
  <conditionalFormatting sqref="L194:M194">
    <cfRule type="cellIs" dxfId="1962" priority="1593" operator="greaterThan">
      <formula>60</formula>
    </cfRule>
  </conditionalFormatting>
  <conditionalFormatting sqref="L194:M194">
    <cfRule type="cellIs" dxfId="1961" priority="1590" stopIfTrue="1" operator="between">
      <formula>150</formula>
      <formula>170</formula>
    </cfRule>
    <cfRule type="cellIs" dxfId="1960" priority="1591" stopIfTrue="1" operator="lessThan">
      <formula>150</formula>
    </cfRule>
    <cfRule type="cellIs" dxfId="1959" priority="1592" stopIfTrue="1" operator="greaterThan">
      <formula>170</formula>
    </cfRule>
  </conditionalFormatting>
  <conditionalFormatting sqref="L194:M194">
    <cfRule type="cellIs" dxfId="1958" priority="1588" operator="lessThan">
      <formula>59</formula>
    </cfRule>
    <cfRule type="cellIs" dxfId="1957" priority="1589" operator="greaterThan">
      <formula>60</formula>
    </cfRule>
  </conditionalFormatting>
  <conditionalFormatting sqref="L194:M194">
    <cfRule type="cellIs" dxfId="1956" priority="1587" operator="greaterThan">
      <formula>60</formula>
    </cfRule>
  </conditionalFormatting>
  <conditionalFormatting sqref="L194:M194">
    <cfRule type="cellIs" dxfId="1955" priority="1585" operator="lessThan">
      <formula>59</formula>
    </cfRule>
    <cfRule type="cellIs" dxfId="1954" priority="1586" operator="greaterThan">
      <formula>60</formula>
    </cfRule>
  </conditionalFormatting>
  <conditionalFormatting sqref="L194:M194">
    <cfRule type="cellIs" dxfId="1953" priority="1584" operator="greaterThan">
      <formula>60</formula>
    </cfRule>
  </conditionalFormatting>
  <conditionalFormatting sqref="L194:M194">
    <cfRule type="cellIs" dxfId="1952" priority="1581" stopIfTrue="1" operator="between">
      <formula>150</formula>
      <formula>170</formula>
    </cfRule>
    <cfRule type="cellIs" dxfId="1951" priority="1582" stopIfTrue="1" operator="lessThan">
      <formula>150</formula>
    </cfRule>
    <cfRule type="cellIs" dxfId="1950" priority="1583" stopIfTrue="1" operator="greaterThan">
      <formula>170</formula>
    </cfRule>
  </conditionalFormatting>
  <conditionalFormatting sqref="L194:M194">
    <cfRule type="cellIs" dxfId="1949" priority="1579" operator="lessThan">
      <formula>59</formula>
    </cfRule>
    <cfRule type="cellIs" dxfId="1948" priority="1580" operator="greaterThan">
      <formula>60</formula>
    </cfRule>
  </conditionalFormatting>
  <conditionalFormatting sqref="L194:M194">
    <cfRule type="cellIs" dxfId="1947" priority="1578" operator="greaterThan">
      <formula>60</formula>
    </cfRule>
  </conditionalFormatting>
  <conditionalFormatting sqref="L194:M194">
    <cfRule type="cellIs" dxfId="1946" priority="1576" operator="lessThan">
      <formula>59</formula>
    </cfRule>
    <cfRule type="cellIs" dxfId="1945" priority="1577" operator="greaterThan">
      <formula>60</formula>
    </cfRule>
  </conditionalFormatting>
  <conditionalFormatting sqref="L194:M194">
    <cfRule type="cellIs" dxfId="1944" priority="1575" operator="greaterThan">
      <formula>60</formula>
    </cfRule>
  </conditionalFormatting>
  <conditionalFormatting sqref="L194:M194">
    <cfRule type="cellIs" dxfId="1943" priority="1572" stopIfTrue="1" operator="between">
      <formula>150</formula>
      <formula>170</formula>
    </cfRule>
    <cfRule type="cellIs" dxfId="1942" priority="1573" stopIfTrue="1" operator="lessThan">
      <formula>150</formula>
    </cfRule>
    <cfRule type="cellIs" dxfId="1941" priority="1574" stopIfTrue="1" operator="greaterThan">
      <formula>170</formula>
    </cfRule>
  </conditionalFormatting>
  <conditionalFormatting sqref="L194:M194">
    <cfRule type="cellIs" dxfId="1940" priority="1570" operator="lessThan">
      <formula>59</formula>
    </cfRule>
    <cfRule type="cellIs" dxfId="1939" priority="1571" operator="greaterThan">
      <formula>60</formula>
    </cfRule>
  </conditionalFormatting>
  <conditionalFormatting sqref="L194:M194">
    <cfRule type="cellIs" dxfId="1938" priority="1569" operator="greaterThan">
      <formula>60</formula>
    </cfRule>
  </conditionalFormatting>
  <conditionalFormatting sqref="L194:M194">
    <cfRule type="cellIs" dxfId="1937" priority="1567" operator="lessThan">
      <formula>59</formula>
    </cfRule>
    <cfRule type="cellIs" dxfId="1936" priority="1568" operator="greaterThan">
      <formula>60</formula>
    </cfRule>
  </conditionalFormatting>
  <conditionalFormatting sqref="L194:M194">
    <cfRule type="cellIs" dxfId="1935" priority="1566" operator="greaterThan">
      <formula>60</formula>
    </cfRule>
  </conditionalFormatting>
  <conditionalFormatting sqref="L194:M194">
    <cfRule type="cellIs" dxfId="1934" priority="1563" stopIfTrue="1" operator="between">
      <formula>150</formula>
      <formula>170</formula>
    </cfRule>
    <cfRule type="cellIs" dxfId="1933" priority="1564" stopIfTrue="1" operator="lessThan">
      <formula>150</formula>
    </cfRule>
    <cfRule type="cellIs" dxfId="1932" priority="1565" stopIfTrue="1" operator="greaterThan">
      <formula>170</formula>
    </cfRule>
  </conditionalFormatting>
  <conditionalFormatting sqref="L194:M194">
    <cfRule type="cellIs" dxfId="1931" priority="1561" operator="lessThan">
      <formula>59</formula>
    </cfRule>
    <cfRule type="cellIs" dxfId="1930" priority="1562" operator="greaterThan">
      <formula>60</formula>
    </cfRule>
  </conditionalFormatting>
  <conditionalFormatting sqref="L92">
    <cfRule type="cellIs" dxfId="1929" priority="1560" operator="greaterThan">
      <formula>60</formula>
    </cfRule>
  </conditionalFormatting>
  <conditionalFormatting sqref="L92">
    <cfRule type="cellIs" dxfId="1928" priority="1557" stopIfTrue="1" operator="between">
      <formula>150</formula>
      <formula>170</formula>
    </cfRule>
    <cfRule type="cellIs" dxfId="1927" priority="1558" stopIfTrue="1" operator="lessThan">
      <formula>150</formula>
    </cfRule>
    <cfRule type="cellIs" dxfId="1926" priority="1559" stopIfTrue="1" operator="greaterThan">
      <formula>170</formula>
    </cfRule>
  </conditionalFormatting>
  <conditionalFormatting sqref="L92:M92">
    <cfRule type="cellIs" dxfId="1925" priority="1555" operator="lessThan">
      <formula>59</formula>
    </cfRule>
    <cfRule type="cellIs" dxfId="1924" priority="1556" operator="greaterThan">
      <formula>60</formula>
    </cfRule>
  </conditionalFormatting>
  <conditionalFormatting sqref="L92:M92">
    <cfRule type="cellIs" dxfId="1923" priority="1554" operator="greaterThan">
      <formula>60</formula>
    </cfRule>
  </conditionalFormatting>
  <conditionalFormatting sqref="L92:M92">
    <cfRule type="cellIs" dxfId="1922" priority="1551" stopIfTrue="1" operator="between">
      <formula>150</formula>
      <formula>170</formula>
    </cfRule>
    <cfRule type="cellIs" dxfId="1921" priority="1552" stopIfTrue="1" operator="lessThan">
      <formula>150</formula>
    </cfRule>
    <cfRule type="cellIs" dxfId="1920" priority="1553" stopIfTrue="1" operator="greaterThan">
      <formula>170</formula>
    </cfRule>
  </conditionalFormatting>
  <conditionalFormatting sqref="L68">
    <cfRule type="cellIs" dxfId="1919" priority="1550" operator="greaterThan">
      <formula>60</formula>
    </cfRule>
  </conditionalFormatting>
  <conditionalFormatting sqref="L68">
    <cfRule type="cellIs" dxfId="1918" priority="1547" stopIfTrue="1" operator="between">
      <formula>150</formula>
      <formula>170</formula>
    </cfRule>
    <cfRule type="cellIs" dxfId="1917" priority="1548" stopIfTrue="1" operator="lessThan">
      <formula>150</formula>
    </cfRule>
    <cfRule type="cellIs" dxfId="1916" priority="1549" stopIfTrue="1" operator="greaterThan">
      <formula>170</formula>
    </cfRule>
  </conditionalFormatting>
  <conditionalFormatting sqref="L68:M68">
    <cfRule type="cellIs" dxfId="1915" priority="1545" operator="lessThan">
      <formula>59</formula>
    </cfRule>
    <cfRule type="cellIs" dxfId="1914" priority="1546" operator="greaterThan">
      <formula>60</formula>
    </cfRule>
  </conditionalFormatting>
  <conditionalFormatting sqref="L68:M68">
    <cfRule type="cellIs" dxfId="1913" priority="1544" operator="greaterThan">
      <formula>60</formula>
    </cfRule>
  </conditionalFormatting>
  <conditionalFormatting sqref="L68:M68">
    <cfRule type="cellIs" dxfId="1912" priority="1541" stopIfTrue="1" operator="between">
      <formula>150</formula>
      <formula>170</formula>
    </cfRule>
    <cfRule type="cellIs" dxfId="1911" priority="1542" stopIfTrue="1" operator="lessThan">
      <formula>150</formula>
    </cfRule>
    <cfRule type="cellIs" dxfId="1910" priority="1543" stopIfTrue="1" operator="greaterThan">
      <formula>170</formula>
    </cfRule>
  </conditionalFormatting>
  <conditionalFormatting sqref="L16">
    <cfRule type="cellIs" dxfId="1909" priority="1540" operator="greaterThan">
      <formula>60</formula>
    </cfRule>
  </conditionalFormatting>
  <conditionalFormatting sqref="L16">
    <cfRule type="cellIs" dxfId="1908" priority="1537" stopIfTrue="1" operator="between">
      <formula>150</formula>
      <formula>170</formula>
    </cfRule>
    <cfRule type="cellIs" dxfId="1907" priority="1538" stopIfTrue="1" operator="lessThan">
      <formula>150</formula>
    </cfRule>
    <cfRule type="cellIs" dxfId="1906" priority="1539" stopIfTrue="1" operator="greaterThan">
      <formula>170</formula>
    </cfRule>
  </conditionalFormatting>
  <conditionalFormatting sqref="L16:M16">
    <cfRule type="cellIs" dxfId="1905" priority="1535" operator="lessThan">
      <formula>59</formula>
    </cfRule>
    <cfRule type="cellIs" dxfId="1904" priority="1536" operator="greaterThan">
      <formula>60</formula>
    </cfRule>
  </conditionalFormatting>
  <conditionalFormatting sqref="L16:M16">
    <cfRule type="cellIs" dxfId="1903" priority="1534" operator="greaterThan">
      <formula>60</formula>
    </cfRule>
  </conditionalFormatting>
  <conditionalFormatting sqref="L16:M16">
    <cfRule type="cellIs" dxfId="1902" priority="1531" stopIfTrue="1" operator="between">
      <formula>150</formula>
      <formula>170</formula>
    </cfRule>
    <cfRule type="cellIs" dxfId="1901" priority="1532" stopIfTrue="1" operator="lessThan">
      <formula>150</formula>
    </cfRule>
    <cfRule type="cellIs" dxfId="1900" priority="1533" stopIfTrue="1" operator="greaterThan">
      <formula>170</formula>
    </cfRule>
  </conditionalFormatting>
  <conditionalFormatting sqref="L45">
    <cfRule type="cellIs" dxfId="1899" priority="1530" operator="greaterThan">
      <formula>60</formula>
    </cfRule>
  </conditionalFormatting>
  <conditionalFormatting sqref="L45">
    <cfRule type="cellIs" dxfId="1898" priority="1527" stopIfTrue="1" operator="between">
      <formula>150</formula>
      <formula>170</formula>
    </cfRule>
    <cfRule type="cellIs" dxfId="1897" priority="1528" stopIfTrue="1" operator="lessThan">
      <formula>150</formula>
    </cfRule>
    <cfRule type="cellIs" dxfId="1896" priority="1529" stopIfTrue="1" operator="greaterThan">
      <formula>170</formula>
    </cfRule>
  </conditionalFormatting>
  <conditionalFormatting sqref="L45:M45">
    <cfRule type="cellIs" dxfId="1895" priority="1525" operator="lessThan">
      <formula>59</formula>
    </cfRule>
    <cfRule type="cellIs" dxfId="1894" priority="1526" operator="greaterThan">
      <formula>60</formula>
    </cfRule>
  </conditionalFormatting>
  <conditionalFormatting sqref="L45:M45">
    <cfRule type="cellIs" dxfId="1893" priority="1524" operator="greaterThan">
      <formula>60</formula>
    </cfRule>
  </conditionalFormatting>
  <conditionalFormatting sqref="L45:M45">
    <cfRule type="cellIs" dxfId="1892" priority="1521" stopIfTrue="1" operator="between">
      <formula>150</formula>
      <formula>170</formula>
    </cfRule>
    <cfRule type="cellIs" dxfId="1891" priority="1522" stopIfTrue="1" operator="lessThan">
      <formula>150</formula>
    </cfRule>
    <cfRule type="cellIs" dxfId="1890" priority="1523" stopIfTrue="1" operator="greaterThan">
      <formula>170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6:M6 L9:M9 L12:M13 L18:M21 L23:M26 L28:M30 L32:M34 L36:M37 L39:M42 L91:M92 L65:M68 L15:M16 L84:M86 L119:M121 L97:M100 L108:M110 L112:M114 L155:M157 L159:M161 L146:M149 L123:M125 L44:M45">
    <cfRule type="cellIs" dxfId="1889" priority="1519" operator="lessThan">
      <formula>59</formula>
    </cfRule>
    <cfRule type="cellIs" dxfId="1888" priority="1520" operator="greaterThan">
      <formula>60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1:M1 L3:M3 L5:M9 L11:M13 L18:M21 L23:M26 L28:M30 L32:M34 L36:M37 L39:M42 L91:M92 L65:M68 L15:M16 L84:M86 L119:M121 L97:M100 L108:M110 L112:M114 L155:M157 L159:M161 L146:M149 L123:M125 L44:M45">
    <cfRule type="cellIs" dxfId="1887" priority="1518" operator="greaterThan">
      <formula>60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8:M9 L11:M13 L18:M21 L23:M26 L28:M30 L32:M34 L36:M37 L39:M42 L91:M92 L65:M68 L15:M16 L84:M86 L119:M121 L97:M100 L108:M110 L112:M114 L155:M157 L159:M161 L146:M149 L123:M125 L44:M45">
    <cfRule type="cellIs" dxfId="1886" priority="1515" stopIfTrue="1" operator="between">
      <formula>150</formula>
      <formula>170</formula>
    </cfRule>
    <cfRule type="cellIs" dxfId="1885" priority="1516" stopIfTrue="1" operator="lessThan">
      <formula>150</formula>
    </cfRule>
    <cfRule type="cellIs" dxfId="1884" priority="1517" stopIfTrue="1" operator="greaterThan">
      <formula>170</formula>
    </cfRule>
  </conditionalFormatting>
  <conditionalFormatting sqref="L166:M166 L164:M164">
    <cfRule type="cellIs" dxfId="1883" priority="1513" operator="lessThan">
      <formula>59</formula>
    </cfRule>
    <cfRule type="cellIs" dxfId="1882" priority="1514" operator="greaterThan">
      <formula>60</formula>
    </cfRule>
  </conditionalFormatting>
  <conditionalFormatting sqref="L166:M166 L164:M164">
    <cfRule type="cellIs" dxfId="1881" priority="1512" operator="greaterThan">
      <formula>60</formula>
    </cfRule>
  </conditionalFormatting>
  <conditionalFormatting sqref="L166:M166 L164:M164">
    <cfRule type="cellIs" dxfId="1880" priority="1509" stopIfTrue="1" operator="between">
      <formula>150</formula>
      <formula>170</formula>
    </cfRule>
    <cfRule type="cellIs" dxfId="1879" priority="1510" stopIfTrue="1" operator="lessThan">
      <formula>150</formula>
    </cfRule>
    <cfRule type="cellIs" dxfId="1878" priority="1511" stopIfTrue="1" operator="greaterThan">
      <formula>170</formula>
    </cfRule>
  </conditionalFormatting>
  <conditionalFormatting sqref="L167:M169">
    <cfRule type="cellIs" dxfId="1877" priority="1507" operator="lessThan">
      <formula>59</formula>
    </cfRule>
    <cfRule type="cellIs" dxfId="1876" priority="1508" operator="greaterThan">
      <formula>60</formula>
    </cfRule>
  </conditionalFormatting>
  <conditionalFormatting sqref="L167:M169">
    <cfRule type="cellIs" dxfId="1875" priority="1506" operator="greaterThan">
      <formula>60</formula>
    </cfRule>
  </conditionalFormatting>
  <conditionalFormatting sqref="L167:M169">
    <cfRule type="cellIs" dxfId="1874" priority="1503" stopIfTrue="1" operator="between">
      <formula>150</formula>
      <formula>170</formula>
    </cfRule>
    <cfRule type="cellIs" dxfId="1873" priority="1504" stopIfTrue="1" operator="lessThan">
      <formula>150</formula>
    </cfRule>
    <cfRule type="cellIs" dxfId="1872" priority="1505" stopIfTrue="1" operator="greaterThan">
      <formula>170</formula>
    </cfRule>
  </conditionalFormatting>
  <conditionalFormatting sqref="L172:M172 L170:M170">
    <cfRule type="cellIs" dxfId="1871" priority="1501" operator="lessThan">
      <formula>59</formula>
    </cfRule>
    <cfRule type="cellIs" dxfId="1870" priority="1502" operator="greaterThan">
      <formula>60</formula>
    </cfRule>
  </conditionalFormatting>
  <conditionalFormatting sqref="L172:M172 L170:M170">
    <cfRule type="cellIs" dxfId="1869" priority="1500" operator="greaterThan">
      <formula>60</formula>
    </cfRule>
  </conditionalFormatting>
  <conditionalFormatting sqref="L172:M172 L170:M170">
    <cfRule type="cellIs" dxfId="1868" priority="1497" stopIfTrue="1" operator="between">
      <formula>150</formula>
      <formula>170</formula>
    </cfRule>
    <cfRule type="cellIs" dxfId="1867" priority="1498" stopIfTrue="1" operator="lessThan">
      <formula>150</formula>
    </cfRule>
    <cfRule type="cellIs" dxfId="1866" priority="1499" stopIfTrue="1" operator="greaterThan">
      <formula>170</formula>
    </cfRule>
  </conditionalFormatting>
  <conditionalFormatting sqref="L173:M173 L175:M175">
    <cfRule type="cellIs" dxfId="1865" priority="1495" operator="lessThan">
      <formula>59</formula>
    </cfRule>
    <cfRule type="cellIs" dxfId="1864" priority="1496" operator="greaterThan">
      <formula>60</formula>
    </cfRule>
  </conditionalFormatting>
  <conditionalFormatting sqref="L173:M173 L175:M175">
    <cfRule type="cellIs" dxfId="1863" priority="1494" operator="greaterThan">
      <formula>60</formula>
    </cfRule>
  </conditionalFormatting>
  <conditionalFormatting sqref="L173:M173 L175:M175">
    <cfRule type="cellIs" dxfId="1862" priority="1491" stopIfTrue="1" operator="between">
      <formula>150</formula>
      <formula>170</formula>
    </cfRule>
    <cfRule type="cellIs" dxfId="1861" priority="1492" stopIfTrue="1" operator="lessThan">
      <formula>150</formula>
    </cfRule>
    <cfRule type="cellIs" dxfId="1860" priority="1493" stopIfTrue="1" operator="greaterThan">
      <formula>170</formula>
    </cfRule>
  </conditionalFormatting>
  <conditionalFormatting sqref="L176:M176 L178:M178">
    <cfRule type="cellIs" dxfId="1859" priority="1489" operator="lessThan">
      <formula>59</formula>
    </cfRule>
    <cfRule type="cellIs" dxfId="1858" priority="1490" operator="greaterThan">
      <formula>60</formula>
    </cfRule>
  </conditionalFormatting>
  <conditionalFormatting sqref="L176:M176 L178:M178">
    <cfRule type="cellIs" dxfId="1857" priority="1488" operator="greaterThan">
      <formula>60</formula>
    </cfRule>
  </conditionalFormatting>
  <conditionalFormatting sqref="L176:M176 L178:M178">
    <cfRule type="cellIs" dxfId="1856" priority="1485" stopIfTrue="1" operator="between">
      <formula>150</formula>
      <formula>170</formula>
    </cfRule>
    <cfRule type="cellIs" dxfId="1855" priority="1486" stopIfTrue="1" operator="lessThan">
      <formula>150</formula>
    </cfRule>
    <cfRule type="cellIs" dxfId="1854" priority="1487" stopIfTrue="1" operator="greaterThan">
      <formula>170</formula>
    </cfRule>
  </conditionalFormatting>
  <conditionalFormatting sqref="L179:M179 L181:M181">
    <cfRule type="cellIs" dxfId="1853" priority="1483" operator="lessThan">
      <formula>59</formula>
    </cfRule>
    <cfRule type="cellIs" dxfId="1852" priority="1484" operator="greaterThan">
      <formula>60</formula>
    </cfRule>
  </conditionalFormatting>
  <conditionalFormatting sqref="L179:M179 L181:M181">
    <cfRule type="cellIs" dxfId="1851" priority="1482" operator="greaterThan">
      <formula>60</formula>
    </cfRule>
  </conditionalFormatting>
  <conditionalFormatting sqref="L179:M179 L181:M181">
    <cfRule type="cellIs" dxfId="1850" priority="1479" stopIfTrue="1" operator="between">
      <formula>150</formula>
      <formula>170</formula>
    </cfRule>
    <cfRule type="cellIs" dxfId="1849" priority="1480" stopIfTrue="1" operator="lessThan">
      <formula>150</formula>
    </cfRule>
    <cfRule type="cellIs" dxfId="1848" priority="1481" stopIfTrue="1" operator="greaterThan">
      <formula>170</formula>
    </cfRule>
  </conditionalFormatting>
  <conditionalFormatting sqref="L182:M182 L184:M184">
    <cfRule type="cellIs" dxfId="1847" priority="1477" operator="lessThan">
      <formula>59</formula>
    </cfRule>
    <cfRule type="cellIs" dxfId="1846" priority="1478" operator="greaterThan">
      <formula>60</formula>
    </cfRule>
  </conditionalFormatting>
  <conditionalFormatting sqref="L182:M182 L184:M184">
    <cfRule type="cellIs" dxfId="1845" priority="1476" operator="greaterThan">
      <formula>60</formula>
    </cfRule>
  </conditionalFormatting>
  <conditionalFormatting sqref="L182:M182 L184:M184">
    <cfRule type="cellIs" dxfId="1844" priority="1473" stopIfTrue="1" operator="between">
      <formula>150</formula>
      <formula>170</formula>
    </cfRule>
    <cfRule type="cellIs" dxfId="1843" priority="1474" stopIfTrue="1" operator="lessThan">
      <formula>150</formula>
    </cfRule>
    <cfRule type="cellIs" dxfId="1842" priority="1475" stopIfTrue="1" operator="greaterThan">
      <formula>170</formula>
    </cfRule>
  </conditionalFormatting>
  <conditionalFormatting sqref="L185:M185 L187:M187">
    <cfRule type="cellIs" dxfId="1841" priority="1471" operator="lessThan">
      <formula>59</formula>
    </cfRule>
    <cfRule type="cellIs" dxfId="1840" priority="1472" operator="greaterThan">
      <formula>60</formula>
    </cfRule>
  </conditionalFormatting>
  <conditionalFormatting sqref="L185:M185 L187:M187">
    <cfRule type="cellIs" dxfId="1839" priority="1470" operator="greaterThan">
      <formula>60</formula>
    </cfRule>
  </conditionalFormatting>
  <conditionalFormatting sqref="L185:M185 L187:M187">
    <cfRule type="cellIs" dxfId="1838" priority="1467" stopIfTrue="1" operator="between">
      <formula>150</formula>
      <formula>170</formula>
    </cfRule>
    <cfRule type="cellIs" dxfId="1837" priority="1468" stopIfTrue="1" operator="lessThan">
      <formula>150</formula>
    </cfRule>
    <cfRule type="cellIs" dxfId="1836" priority="1469" stopIfTrue="1" operator="greaterThan">
      <formula>170</formula>
    </cfRule>
  </conditionalFormatting>
  <conditionalFormatting sqref="L188:M188 L190:M190">
    <cfRule type="cellIs" dxfId="1835" priority="1465" operator="lessThan">
      <formula>59</formula>
    </cfRule>
    <cfRule type="cellIs" dxfId="1834" priority="1466" operator="greaterThan">
      <formula>60</formula>
    </cfRule>
  </conditionalFormatting>
  <conditionalFormatting sqref="L188:M188 L190:M190">
    <cfRule type="cellIs" dxfId="1833" priority="1464" operator="greaterThan">
      <formula>60</formula>
    </cfRule>
  </conditionalFormatting>
  <conditionalFormatting sqref="L188:M188 L190:M190">
    <cfRule type="cellIs" dxfId="1832" priority="1461" stopIfTrue="1" operator="between">
      <formula>150</formula>
      <formula>170</formula>
    </cfRule>
    <cfRule type="cellIs" dxfId="1831" priority="1462" stopIfTrue="1" operator="lessThan">
      <formula>150</formula>
    </cfRule>
    <cfRule type="cellIs" dxfId="1830" priority="1463" stopIfTrue="1" operator="greaterThan">
      <formula>170</formula>
    </cfRule>
  </conditionalFormatting>
  <conditionalFormatting sqref="L193:M193 L191:M191">
    <cfRule type="cellIs" dxfId="1829" priority="1459" operator="lessThan">
      <formula>59</formula>
    </cfRule>
    <cfRule type="cellIs" dxfId="1828" priority="1460" operator="greaterThan">
      <formula>60</formula>
    </cfRule>
  </conditionalFormatting>
  <conditionalFormatting sqref="L193:M193 L191:M191">
    <cfRule type="cellIs" dxfId="1827" priority="1458" operator="greaterThan">
      <formula>60</formula>
    </cfRule>
  </conditionalFormatting>
  <conditionalFormatting sqref="L193:M193 L191:M191">
    <cfRule type="cellIs" dxfId="1826" priority="1455" stopIfTrue="1" operator="between">
      <formula>150</formula>
      <formula>170</formula>
    </cfRule>
    <cfRule type="cellIs" dxfId="1825" priority="1456" stopIfTrue="1" operator="lessThan">
      <formula>150</formula>
    </cfRule>
    <cfRule type="cellIs" dxfId="1824" priority="1457" stopIfTrue="1" operator="greaterThan">
      <formula>170</formula>
    </cfRule>
  </conditionalFormatting>
  <conditionalFormatting sqref="L196:M196 L194:M194">
    <cfRule type="cellIs" dxfId="1823" priority="1454" operator="greaterThan">
      <formula>60</formula>
    </cfRule>
  </conditionalFormatting>
  <conditionalFormatting sqref="L196:M196 L194:M194">
    <cfRule type="cellIs" dxfId="1822" priority="1451" stopIfTrue="1" operator="between">
      <formula>150</formula>
      <formula>170</formula>
    </cfRule>
    <cfRule type="cellIs" dxfId="1821" priority="1452" stopIfTrue="1" operator="lessThan">
      <formula>150</formula>
    </cfRule>
    <cfRule type="cellIs" dxfId="1820" priority="1453" stopIfTrue="1" operator="greaterThan">
      <formula>170</formula>
    </cfRule>
  </conditionalFormatting>
  <conditionalFormatting sqref="L194:M194">
    <cfRule type="cellIs" dxfId="1819" priority="1449" operator="lessThan">
      <formula>59</formula>
    </cfRule>
    <cfRule type="cellIs" dxfId="1818" priority="1450" operator="greaterThan">
      <formula>60</formula>
    </cfRule>
  </conditionalFormatting>
  <conditionalFormatting sqref="L194:M194">
    <cfRule type="cellIs" dxfId="1817" priority="1447" operator="lessThan">
      <formula>59</formula>
    </cfRule>
    <cfRule type="cellIs" dxfId="1816" priority="1448" operator="greaterThan">
      <formula>60</formula>
    </cfRule>
  </conditionalFormatting>
  <conditionalFormatting sqref="L194:M194">
    <cfRule type="cellIs" dxfId="1815" priority="1445" operator="lessThan">
      <formula>59</formula>
    </cfRule>
    <cfRule type="cellIs" dxfId="1814" priority="1446" operator="greaterThan">
      <formula>60</formula>
    </cfRule>
  </conditionalFormatting>
  <conditionalFormatting sqref="L194:M194">
    <cfRule type="cellIs" dxfId="1813" priority="1443" operator="lessThan">
      <formula>59</formula>
    </cfRule>
    <cfRule type="cellIs" dxfId="1812" priority="1444" operator="greaterThan">
      <formula>60</formula>
    </cfRule>
  </conditionalFormatting>
  <conditionalFormatting sqref="L196:M196">
    <cfRule type="cellIs" dxfId="1811" priority="1441" operator="lessThan">
      <formula>59</formula>
    </cfRule>
    <cfRule type="cellIs" dxfId="1810" priority="1442" operator="greaterThan">
      <formula>60</formula>
    </cfRule>
  </conditionalFormatting>
  <conditionalFormatting sqref="L194:M194">
    <cfRule type="cellIs" dxfId="1809" priority="1439" operator="lessThan">
      <formula>59</formula>
    </cfRule>
    <cfRule type="cellIs" dxfId="1808" priority="1440" operator="greaterThan">
      <formula>60</formula>
    </cfRule>
  </conditionalFormatting>
  <conditionalFormatting sqref="L196:M196">
    <cfRule type="cellIs" dxfId="1807" priority="1437" operator="lessThan">
      <formula>59</formula>
    </cfRule>
    <cfRule type="cellIs" dxfId="1806" priority="1438" operator="greaterThan">
      <formula>60</formula>
    </cfRule>
  </conditionalFormatting>
  <conditionalFormatting sqref="L196:M196">
    <cfRule type="cellIs" dxfId="1805" priority="1435" operator="lessThan">
      <formula>59</formula>
    </cfRule>
    <cfRule type="cellIs" dxfId="1804" priority="1436" operator="greaterThan">
      <formula>60</formula>
    </cfRule>
  </conditionalFormatting>
  <conditionalFormatting sqref="L196:M196">
    <cfRule type="cellIs" dxfId="1803" priority="1433" operator="lessThan">
      <formula>59</formula>
    </cfRule>
    <cfRule type="cellIs" dxfId="1802" priority="1434" operator="greaterThan">
      <formula>60</formula>
    </cfRule>
  </conditionalFormatting>
  <conditionalFormatting sqref="L196:M196">
    <cfRule type="cellIs" dxfId="1801" priority="1431" operator="lessThan">
      <formula>59</formula>
    </cfRule>
    <cfRule type="cellIs" dxfId="1800" priority="1432" operator="greaterThan">
      <formula>60</formula>
    </cfRule>
  </conditionalFormatting>
  <conditionalFormatting sqref="L196:M196">
    <cfRule type="cellIs" dxfId="1799" priority="1429" operator="lessThan">
      <formula>59</formula>
    </cfRule>
    <cfRule type="cellIs" dxfId="1798" priority="1430" operator="greaterThan">
      <formula>60</formula>
    </cfRule>
  </conditionalFormatting>
  <conditionalFormatting sqref="L196:M196">
    <cfRule type="cellIs" dxfId="1797" priority="1427" operator="lessThan">
      <formula>59</formula>
    </cfRule>
    <cfRule type="cellIs" dxfId="1796" priority="1428" operator="greaterThan">
      <formula>60</formula>
    </cfRule>
  </conditionalFormatting>
  <conditionalFormatting sqref="L196:M196">
    <cfRule type="cellIs" dxfId="1795" priority="1425" operator="lessThan">
      <formula>59</formula>
    </cfRule>
    <cfRule type="cellIs" dxfId="1794" priority="1426" operator="greaterThan">
      <formula>60</formula>
    </cfRule>
  </conditionalFormatting>
  <conditionalFormatting sqref="L194:M194">
    <cfRule type="cellIs" dxfId="1793" priority="1423" operator="lessThan">
      <formula>59</formula>
    </cfRule>
    <cfRule type="cellIs" dxfId="1792" priority="1424" operator="greaterThan">
      <formula>60</formula>
    </cfRule>
  </conditionalFormatting>
  <conditionalFormatting sqref="L194:M194">
    <cfRule type="cellIs" dxfId="1791" priority="1421" operator="lessThan">
      <formula>59</formula>
    </cfRule>
    <cfRule type="cellIs" dxfId="1790" priority="1422" operator="greaterThan">
      <formula>60</formula>
    </cfRule>
  </conditionalFormatting>
  <conditionalFormatting sqref="L194:M194">
    <cfRule type="cellIs" dxfId="1789" priority="1419" operator="lessThan">
      <formula>59</formula>
    </cfRule>
    <cfRule type="cellIs" dxfId="1788" priority="1420" operator="greaterThan">
      <formula>60</formula>
    </cfRule>
  </conditionalFormatting>
  <conditionalFormatting sqref="L196:M196">
    <cfRule type="cellIs" dxfId="1787" priority="1417" operator="lessThan">
      <formula>59</formula>
    </cfRule>
    <cfRule type="cellIs" dxfId="1786" priority="1418" operator="greaterThan">
      <formula>60</formula>
    </cfRule>
  </conditionalFormatting>
  <conditionalFormatting sqref="L196:M196">
    <cfRule type="cellIs" dxfId="1785" priority="1415" operator="lessThan">
      <formula>59</formula>
    </cfRule>
    <cfRule type="cellIs" dxfId="1784" priority="1416" operator="greaterThan">
      <formula>60</formula>
    </cfRule>
  </conditionalFormatting>
  <conditionalFormatting sqref="L196:M196">
    <cfRule type="cellIs" dxfId="1783" priority="1413" operator="lessThan">
      <formula>59</formula>
    </cfRule>
    <cfRule type="cellIs" dxfId="1782" priority="1414" operator="greaterThan">
      <formula>60</formula>
    </cfRule>
  </conditionalFormatting>
  <conditionalFormatting sqref="L194:M194">
    <cfRule type="cellIs" dxfId="1781" priority="1411" operator="lessThan">
      <formula>59</formula>
    </cfRule>
    <cfRule type="cellIs" dxfId="1780" priority="1412" operator="greaterThan">
      <formula>60</formula>
    </cfRule>
  </conditionalFormatting>
  <conditionalFormatting sqref="L194:M194">
    <cfRule type="cellIs" dxfId="1779" priority="1409" operator="lessThan">
      <formula>59</formula>
    </cfRule>
    <cfRule type="cellIs" dxfId="1778" priority="1410" operator="greaterThan">
      <formula>60</formula>
    </cfRule>
  </conditionalFormatting>
  <conditionalFormatting sqref="L196:M196">
    <cfRule type="cellIs" dxfId="1777" priority="1407" operator="lessThan">
      <formula>59</formula>
    </cfRule>
    <cfRule type="cellIs" dxfId="1776" priority="1408" operator="greaterThan">
      <formula>60</formula>
    </cfRule>
  </conditionalFormatting>
  <conditionalFormatting sqref="L194:M194">
    <cfRule type="cellIs" dxfId="1775" priority="1405" operator="lessThan">
      <formula>59</formula>
    </cfRule>
    <cfRule type="cellIs" dxfId="1774" priority="1406" operator="greaterThan">
      <formula>60</formula>
    </cfRule>
  </conditionalFormatting>
  <conditionalFormatting sqref="L194:M194">
    <cfRule type="cellIs" dxfId="1773" priority="1403" operator="lessThan">
      <formula>59</formula>
    </cfRule>
    <cfRule type="cellIs" dxfId="1772" priority="1404" operator="greaterThan">
      <formula>60</formula>
    </cfRule>
  </conditionalFormatting>
  <conditionalFormatting sqref="L194:M194">
    <cfRule type="cellIs" dxfId="1771" priority="1401" operator="lessThan">
      <formula>59</formula>
    </cfRule>
    <cfRule type="cellIs" dxfId="1770" priority="1402" operator="greaterThan">
      <formula>60</formula>
    </cfRule>
  </conditionalFormatting>
  <conditionalFormatting sqref="L194:M194">
    <cfRule type="cellIs" dxfId="1769" priority="1399" operator="lessThan">
      <formula>59</formula>
    </cfRule>
    <cfRule type="cellIs" dxfId="1768" priority="1400" operator="greaterThan">
      <formula>60</formula>
    </cfRule>
  </conditionalFormatting>
  <conditionalFormatting sqref="L194:M194">
    <cfRule type="cellIs" dxfId="1767" priority="1397" operator="lessThan">
      <formula>59</formula>
    </cfRule>
    <cfRule type="cellIs" dxfId="1766" priority="1398" operator="greaterThan">
      <formula>60</formula>
    </cfRule>
  </conditionalFormatting>
  <conditionalFormatting sqref="L194:M194">
    <cfRule type="cellIs" dxfId="1765" priority="1395" operator="lessThan">
      <formula>59</formula>
    </cfRule>
    <cfRule type="cellIs" dxfId="1764" priority="1396" operator="greaterThan">
      <formula>60</formula>
    </cfRule>
  </conditionalFormatting>
  <conditionalFormatting sqref="L194:M194">
    <cfRule type="cellIs" dxfId="1763" priority="1393" operator="lessThan">
      <formula>59</formula>
    </cfRule>
    <cfRule type="cellIs" dxfId="1762" priority="1394" operator="greaterThan">
      <formula>60</formula>
    </cfRule>
  </conditionalFormatting>
  <conditionalFormatting sqref="L194:M194">
    <cfRule type="cellIs" dxfId="1761" priority="1391" operator="lessThan">
      <formula>59</formula>
    </cfRule>
    <cfRule type="cellIs" dxfId="1760" priority="1392" operator="greaterThan">
      <formula>60</formula>
    </cfRule>
  </conditionalFormatting>
  <conditionalFormatting sqref="L194:M194">
    <cfRule type="cellIs" dxfId="1759" priority="1389" operator="lessThan">
      <formula>59</formula>
    </cfRule>
    <cfRule type="cellIs" dxfId="1758" priority="1390" operator="greaterThan">
      <formula>60</formula>
    </cfRule>
  </conditionalFormatting>
  <conditionalFormatting sqref="L194:M194">
    <cfRule type="cellIs" dxfId="1757" priority="1387" operator="lessThan">
      <formula>59</formula>
    </cfRule>
    <cfRule type="cellIs" dxfId="1756" priority="1388" operator="greaterThan">
      <formula>60</formula>
    </cfRule>
  </conditionalFormatting>
  <conditionalFormatting sqref="L194:M194">
    <cfRule type="cellIs" dxfId="1755" priority="1385" operator="lessThan">
      <formula>59</formula>
    </cfRule>
    <cfRule type="cellIs" dxfId="1754" priority="1386" operator="greaterThan">
      <formula>60</formula>
    </cfRule>
  </conditionalFormatting>
  <conditionalFormatting sqref="L194:M194">
    <cfRule type="cellIs" dxfId="1753" priority="1383" operator="lessThan">
      <formula>59</formula>
    </cfRule>
    <cfRule type="cellIs" dxfId="1752" priority="1384" operator="greaterThan">
      <formula>60</formula>
    </cfRule>
  </conditionalFormatting>
  <conditionalFormatting sqref="L196:M196">
    <cfRule type="cellIs" dxfId="1751" priority="1381" operator="lessThan">
      <formula>59</formula>
    </cfRule>
    <cfRule type="cellIs" dxfId="1750" priority="1382" operator="greaterThan">
      <formula>60</formula>
    </cfRule>
  </conditionalFormatting>
  <conditionalFormatting sqref="L194:M194">
    <cfRule type="cellIs" dxfId="1749" priority="1379" operator="lessThan">
      <formula>59</formula>
    </cfRule>
    <cfRule type="cellIs" dxfId="1748" priority="1380" operator="greaterThan">
      <formula>60</formula>
    </cfRule>
  </conditionalFormatting>
  <conditionalFormatting sqref="L196:M196">
    <cfRule type="cellIs" dxfId="1747" priority="1377" operator="lessThan">
      <formula>59</formula>
    </cfRule>
    <cfRule type="cellIs" dxfId="1746" priority="1378" operator="greaterThan">
      <formula>60</formula>
    </cfRule>
  </conditionalFormatting>
  <conditionalFormatting sqref="L196:M196">
    <cfRule type="cellIs" dxfId="1745" priority="1375" operator="lessThan">
      <formula>59</formula>
    </cfRule>
    <cfRule type="cellIs" dxfId="1744" priority="1376" operator="greaterThan">
      <formula>60</formula>
    </cfRule>
  </conditionalFormatting>
  <conditionalFormatting sqref="L196:M196">
    <cfRule type="cellIs" dxfId="1743" priority="1373" operator="lessThan">
      <formula>59</formula>
    </cfRule>
    <cfRule type="cellIs" dxfId="1742" priority="1374" operator="greaterThan">
      <formula>60</formula>
    </cfRule>
  </conditionalFormatting>
  <conditionalFormatting sqref="L196:M196">
    <cfRule type="cellIs" dxfId="1741" priority="1371" operator="lessThan">
      <formula>59</formula>
    </cfRule>
    <cfRule type="cellIs" dxfId="1740" priority="1372" operator="greaterThan">
      <formula>60</formula>
    </cfRule>
  </conditionalFormatting>
  <conditionalFormatting sqref="L196:M196">
    <cfRule type="cellIs" dxfId="1739" priority="1369" operator="lessThan">
      <formula>59</formula>
    </cfRule>
    <cfRule type="cellIs" dxfId="1738" priority="1370" operator="greaterThan">
      <formula>60</formula>
    </cfRule>
  </conditionalFormatting>
  <conditionalFormatting sqref="L196:M196">
    <cfRule type="cellIs" dxfId="1737" priority="1367" operator="lessThan">
      <formula>59</formula>
    </cfRule>
    <cfRule type="cellIs" dxfId="1736" priority="1368" operator="greaterThan">
      <formula>60</formula>
    </cfRule>
  </conditionalFormatting>
  <conditionalFormatting sqref="L196:M196">
    <cfRule type="cellIs" dxfId="1735" priority="1365" operator="lessThan">
      <formula>59</formula>
    </cfRule>
    <cfRule type="cellIs" dxfId="1734" priority="1366" operator="greaterThan">
      <formula>60</formula>
    </cfRule>
  </conditionalFormatting>
  <conditionalFormatting sqref="L194:M194">
    <cfRule type="cellIs" dxfId="1733" priority="1363" operator="lessThan">
      <formula>59</formula>
    </cfRule>
    <cfRule type="cellIs" dxfId="1732" priority="1364" operator="greaterThan">
      <formula>60</formula>
    </cfRule>
  </conditionalFormatting>
  <conditionalFormatting sqref="L194:M194">
    <cfRule type="cellIs" dxfId="1731" priority="1361" operator="lessThan">
      <formula>59</formula>
    </cfRule>
    <cfRule type="cellIs" dxfId="1730" priority="1362" operator="greaterThan">
      <formula>60</formula>
    </cfRule>
  </conditionalFormatting>
  <conditionalFormatting sqref="L194:M194">
    <cfRule type="cellIs" dxfId="1729" priority="1359" operator="lessThan">
      <formula>59</formula>
    </cfRule>
    <cfRule type="cellIs" dxfId="1728" priority="1360" operator="greaterThan">
      <formula>60</formula>
    </cfRule>
  </conditionalFormatting>
  <conditionalFormatting sqref="L194:M194">
    <cfRule type="cellIs" dxfId="1727" priority="1357" operator="lessThan">
      <formula>59</formula>
    </cfRule>
    <cfRule type="cellIs" dxfId="1726" priority="1358" operator="greaterThan">
      <formula>60</formula>
    </cfRule>
  </conditionalFormatting>
  <conditionalFormatting sqref="L194:M194">
    <cfRule type="cellIs" dxfId="1725" priority="1355" operator="lessThan">
      <formula>59</formula>
    </cfRule>
    <cfRule type="cellIs" dxfId="1724" priority="1356" operator="greaterThan">
      <formula>60</formula>
    </cfRule>
  </conditionalFormatting>
  <conditionalFormatting sqref="L194:M194">
    <cfRule type="cellIs" dxfId="1723" priority="1353" operator="lessThan">
      <formula>59</formula>
    </cfRule>
    <cfRule type="cellIs" dxfId="1722" priority="1354" operator="greaterThan">
      <formula>60</formula>
    </cfRule>
  </conditionalFormatting>
  <conditionalFormatting sqref="L194:M194">
    <cfRule type="cellIs" dxfId="1721" priority="1351" operator="lessThan">
      <formula>59</formula>
    </cfRule>
    <cfRule type="cellIs" dxfId="1720" priority="1352" operator="greaterThan">
      <formula>60</formula>
    </cfRule>
  </conditionalFormatting>
  <conditionalFormatting sqref="L194:M194">
    <cfRule type="cellIs" dxfId="1719" priority="1349" operator="lessThan">
      <formula>59</formula>
    </cfRule>
    <cfRule type="cellIs" dxfId="1718" priority="1350" operator="greaterThan">
      <formula>60</formula>
    </cfRule>
  </conditionalFormatting>
  <conditionalFormatting sqref="L196:M196">
    <cfRule type="cellIs" dxfId="1717" priority="1347" operator="lessThan">
      <formula>59</formula>
    </cfRule>
    <cfRule type="cellIs" dxfId="1716" priority="1348" operator="greaterThan">
      <formula>60</formula>
    </cfRule>
  </conditionalFormatting>
  <conditionalFormatting sqref="L196:M196">
    <cfRule type="cellIs" dxfId="1715" priority="1345" operator="lessThan">
      <formula>59</formula>
    </cfRule>
    <cfRule type="cellIs" dxfId="1714" priority="1346" operator="greaterThan">
      <formula>60</formula>
    </cfRule>
  </conditionalFormatting>
  <conditionalFormatting sqref="L194:M194">
    <cfRule type="cellIs" dxfId="1713" priority="1343" operator="lessThan">
      <formula>59</formula>
    </cfRule>
    <cfRule type="cellIs" dxfId="1712" priority="1344" operator="greaterThan">
      <formula>60</formula>
    </cfRule>
  </conditionalFormatting>
  <conditionalFormatting sqref="L194:M194">
    <cfRule type="cellIs" dxfId="1711" priority="1341" operator="lessThan">
      <formula>59</formula>
    </cfRule>
    <cfRule type="cellIs" dxfId="1710" priority="1342" operator="greaterThan">
      <formula>60</formula>
    </cfRule>
  </conditionalFormatting>
  <conditionalFormatting sqref="L194:M194">
    <cfRule type="cellIs" dxfId="1709" priority="1339" operator="lessThan">
      <formula>59</formula>
    </cfRule>
    <cfRule type="cellIs" dxfId="1708" priority="1340" operator="greaterThan">
      <formula>60</formula>
    </cfRule>
  </conditionalFormatting>
  <conditionalFormatting sqref="L194:M194">
    <cfRule type="cellIs" dxfId="1707" priority="1337" operator="lessThan">
      <formula>59</formula>
    </cfRule>
    <cfRule type="cellIs" dxfId="1706" priority="1338" operator="greaterThan">
      <formula>60</formula>
    </cfRule>
  </conditionalFormatting>
  <conditionalFormatting sqref="L196:M196">
    <cfRule type="cellIs" dxfId="1705" priority="1335" operator="lessThan">
      <formula>59</formula>
    </cfRule>
    <cfRule type="cellIs" dxfId="1704" priority="1336" operator="greaterThan">
      <formula>60</formula>
    </cfRule>
  </conditionalFormatting>
  <conditionalFormatting sqref="L196:M196">
    <cfRule type="cellIs" dxfId="1703" priority="1333" operator="lessThan">
      <formula>59</formula>
    </cfRule>
    <cfRule type="cellIs" dxfId="1702" priority="1334" operator="greaterThan">
      <formula>60</formula>
    </cfRule>
  </conditionalFormatting>
  <conditionalFormatting sqref="L196:M196">
    <cfRule type="cellIs" dxfId="1701" priority="1331" operator="lessThan">
      <formula>59</formula>
    </cfRule>
    <cfRule type="cellIs" dxfId="1700" priority="1332" operator="greaterThan">
      <formula>60</formula>
    </cfRule>
  </conditionalFormatting>
  <conditionalFormatting sqref="L196:M196">
    <cfRule type="cellIs" dxfId="1699" priority="1329" operator="lessThan">
      <formula>59</formula>
    </cfRule>
    <cfRule type="cellIs" dxfId="1698" priority="1330" operator="greaterThan">
      <formula>60</formula>
    </cfRule>
  </conditionalFormatting>
  <conditionalFormatting sqref="L196:M196">
    <cfRule type="cellIs" dxfId="1697" priority="1327" operator="lessThan">
      <formula>59</formula>
    </cfRule>
    <cfRule type="cellIs" dxfId="1696" priority="1328" operator="greaterThan">
      <formula>60</formula>
    </cfRule>
  </conditionalFormatting>
  <conditionalFormatting sqref="L196:M196">
    <cfRule type="cellIs" dxfId="1695" priority="1325" operator="lessThan">
      <formula>59</formula>
    </cfRule>
    <cfRule type="cellIs" dxfId="1694" priority="1326" operator="greaterThan">
      <formula>60</formula>
    </cfRule>
  </conditionalFormatting>
  <conditionalFormatting sqref="L196:M196">
    <cfRule type="cellIs" dxfId="1693" priority="1323" operator="lessThan">
      <formula>59</formula>
    </cfRule>
    <cfRule type="cellIs" dxfId="1692" priority="1324" operator="greaterThan">
      <formula>60</formula>
    </cfRule>
  </conditionalFormatting>
  <conditionalFormatting sqref="L196:M196">
    <cfRule type="cellIs" dxfId="1691" priority="1321" operator="lessThan">
      <formula>59</formula>
    </cfRule>
    <cfRule type="cellIs" dxfId="1690" priority="1322" operator="greaterThan">
      <formula>60</formula>
    </cfRule>
  </conditionalFormatting>
  <conditionalFormatting sqref="L194:M194">
    <cfRule type="cellIs" dxfId="1689" priority="1319" operator="lessThan">
      <formula>59</formula>
    </cfRule>
    <cfRule type="cellIs" dxfId="1688" priority="1320" operator="greaterThan">
      <formula>60</formula>
    </cfRule>
  </conditionalFormatting>
  <conditionalFormatting sqref="L194:M194">
    <cfRule type="cellIs" dxfId="1687" priority="1317" operator="lessThan">
      <formula>59</formula>
    </cfRule>
    <cfRule type="cellIs" dxfId="1686" priority="1318" operator="greaterThan">
      <formula>60</formula>
    </cfRule>
  </conditionalFormatting>
  <conditionalFormatting sqref="L194:M194">
    <cfRule type="cellIs" dxfId="1685" priority="1315" operator="lessThan">
      <formula>59</formula>
    </cfRule>
    <cfRule type="cellIs" dxfId="1684" priority="1316" operator="greaterThan">
      <formula>60</formula>
    </cfRule>
  </conditionalFormatting>
  <conditionalFormatting sqref="L194:M194">
    <cfRule type="cellIs" dxfId="1683" priority="1313" operator="lessThan">
      <formula>59</formula>
    </cfRule>
    <cfRule type="cellIs" dxfId="1682" priority="1314" operator="greaterThan">
      <formula>60</formula>
    </cfRule>
  </conditionalFormatting>
  <conditionalFormatting sqref="L194:M194">
    <cfRule type="cellIs" dxfId="1681" priority="1311" operator="lessThan">
      <formula>59</formula>
    </cfRule>
    <cfRule type="cellIs" dxfId="1680" priority="1312" operator="greaterThan">
      <formula>60</formula>
    </cfRule>
  </conditionalFormatting>
  <conditionalFormatting sqref="L194:M194">
    <cfRule type="cellIs" dxfId="1679" priority="1309" operator="lessThan">
      <formula>59</formula>
    </cfRule>
    <cfRule type="cellIs" dxfId="1678" priority="1310" operator="greaterThan">
      <formula>60</formula>
    </cfRule>
  </conditionalFormatting>
  <conditionalFormatting sqref="L194:M194">
    <cfRule type="cellIs" dxfId="1677" priority="1307" operator="lessThan">
      <formula>59</formula>
    </cfRule>
    <cfRule type="cellIs" dxfId="1676" priority="1308" operator="greaterThan">
      <formula>60</formula>
    </cfRule>
  </conditionalFormatting>
  <conditionalFormatting sqref="L194:M194">
    <cfRule type="cellIs" dxfId="1675" priority="1305" operator="lessThan">
      <formula>59</formula>
    </cfRule>
    <cfRule type="cellIs" dxfId="1674" priority="1306" operator="greaterThan">
      <formula>60</formula>
    </cfRule>
  </conditionalFormatting>
  <conditionalFormatting sqref="L194:M194">
    <cfRule type="cellIs" dxfId="1673" priority="1303" operator="lessThan">
      <formula>59</formula>
    </cfRule>
    <cfRule type="cellIs" dxfId="1672" priority="1304" operator="greaterThan">
      <formula>60</formula>
    </cfRule>
  </conditionalFormatting>
  <conditionalFormatting sqref="L196:M196">
    <cfRule type="cellIs" dxfId="1671" priority="1301" operator="lessThan">
      <formula>59</formula>
    </cfRule>
    <cfRule type="cellIs" dxfId="1670" priority="1302" operator="greaterThan">
      <formula>60</formula>
    </cfRule>
  </conditionalFormatting>
  <conditionalFormatting sqref="L196:M196">
    <cfRule type="cellIs" dxfId="1669" priority="1299" operator="lessThan">
      <formula>59</formula>
    </cfRule>
    <cfRule type="cellIs" dxfId="1668" priority="1300" operator="greaterThan">
      <formula>60</formula>
    </cfRule>
  </conditionalFormatting>
  <conditionalFormatting sqref="L194:M194">
    <cfRule type="cellIs" dxfId="1667" priority="1297" operator="lessThan">
      <formula>59</formula>
    </cfRule>
    <cfRule type="cellIs" dxfId="1666" priority="1298" operator="greaterThan">
      <formula>60</formula>
    </cfRule>
  </conditionalFormatting>
  <conditionalFormatting sqref="L196:M196">
    <cfRule type="cellIs" dxfId="1665" priority="1295" operator="lessThan">
      <formula>59</formula>
    </cfRule>
    <cfRule type="cellIs" dxfId="1664" priority="1296" operator="greaterThan">
      <formula>60</formula>
    </cfRule>
  </conditionalFormatting>
  <conditionalFormatting sqref="L196:M196">
    <cfRule type="cellIs" dxfId="1663" priority="1293" operator="lessThan">
      <formula>59</formula>
    </cfRule>
    <cfRule type="cellIs" dxfId="1662" priority="1294" operator="greaterThan">
      <formula>60</formula>
    </cfRule>
  </conditionalFormatting>
  <conditionalFormatting sqref="L196:M196">
    <cfRule type="cellIs" dxfId="1661" priority="1291" operator="lessThan">
      <formula>59</formula>
    </cfRule>
    <cfRule type="cellIs" dxfId="1660" priority="1292" operator="greaterThan">
      <formula>60</formula>
    </cfRule>
  </conditionalFormatting>
  <conditionalFormatting sqref="L194:M194">
    <cfRule type="cellIs" dxfId="1659" priority="1289" operator="lessThan">
      <formula>59</formula>
    </cfRule>
    <cfRule type="cellIs" dxfId="1658" priority="1290" operator="greaterThan">
      <formula>60</formula>
    </cfRule>
  </conditionalFormatting>
  <conditionalFormatting sqref="L194:M194">
    <cfRule type="cellIs" dxfId="1657" priority="1287" operator="lessThan">
      <formula>59</formula>
    </cfRule>
    <cfRule type="cellIs" dxfId="1656" priority="1288" operator="greaterThan">
      <formula>60</formula>
    </cfRule>
  </conditionalFormatting>
  <conditionalFormatting sqref="L194:M194">
    <cfRule type="cellIs" dxfId="1655" priority="1285" operator="lessThan">
      <formula>59</formula>
    </cfRule>
    <cfRule type="cellIs" dxfId="1654" priority="1286" operator="greaterThan">
      <formula>60</formula>
    </cfRule>
  </conditionalFormatting>
  <conditionalFormatting sqref="L194:M194">
    <cfRule type="cellIs" dxfId="1653" priority="1283" operator="lessThan">
      <formula>59</formula>
    </cfRule>
    <cfRule type="cellIs" dxfId="1652" priority="1284" operator="greaterThan">
      <formula>60</formula>
    </cfRule>
  </conditionalFormatting>
  <conditionalFormatting sqref="L194:M194">
    <cfRule type="cellIs" dxfId="1651" priority="1281" operator="lessThan">
      <formula>59</formula>
    </cfRule>
    <cfRule type="cellIs" dxfId="1650" priority="1282" operator="greaterThan">
      <formula>60</formula>
    </cfRule>
  </conditionalFormatting>
  <conditionalFormatting sqref="L194:M194">
    <cfRule type="cellIs" dxfId="1649" priority="1279" operator="lessThan">
      <formula>59</formula>
    </cfRule>
    <cfRule type="cellIs" dxfId="1648" priority="1280" operator="greaterThan">
      <formula>60</formula>
    </cfRule>
  </conditionalFormatting>
  <conditionalFormatting sqref="L194:M194">
    <cfRule type="cellIs" dxfId="1647" priority="1277" operator="lessThan">
      <formula>59</formula>
    </cfRule>
    <cfRule type="cellIs" dxfId="1646" priority="1278" operator="greaterThan">
      <formula>60</formula>
    </cfRule>
  </conditionalFormatting>
  <conditionalFormatting sqref="L194:M194">
    <cfRule type="cellIs" dxfId="1645" priority="1275" operator="lessThan">
      <formula>59</formula>
    </cfRule>
    <cfRule type="cellIs" dxfId="1644" priority="1276" operator="greaterThan">
      <formula>60</formula>
    </cfRule>
  </conditionalFormatting>
  <conditionalFormatting sqref="L194:M194">
    <cfRule type="cellIs" dxfId="1643" priority="1273" operator="lessThan">
      <formula>59</formula>
    </cfRule>
    <cfRule type="cellIs" dxfId="1642" priority="1274" operator="greaterThan">
      <formula>60</formula>
    </cfRule>
  </conditionalFormatting>
  <conditionalFormatting sqref="L194:M194">
    <cfRule type="cellIs" dxfId="1641" priority="1271" operator="lessThan">
      <formula>59</formula>
    </cfRule>
    <cfRule type="cellIs" dxfId="1640" priority="1272" operator="greaterThan">
      <formula>60</formula>
    </cfRule>
  </conditionalFormatting>
  <conditionalFormatting sqref="L196:M196">
    <cfRule type="cellIs" dxfId="1639" priority="1269" operator="lessThan">
      <formula>59</formula>
    </cfRule>
    <cfRule type="cellIs" dxfId="1638" priority="1270" operator="greaterThan">
      <formula>60</formula>
    </cfRule>
  </conditionalFormatting>
  <conditionalFormatting sqref="L196:M196">
    <cfRule type="cellIs" dxfId="1637" priority="1267" operator="lessThan">
      <formula>59</formula>
    </cfRule>
    <cfRule type="cellIs" dxfId="1636" priority="1268" operator="greaterThan">
      <formula>60</formula>
    </cfRule>
  </conditionalFormatting>
  <conditionalFormatting sqref="L194:M194">
    <cfRule type="cellIs" dxfId="1635" priority="1265" operator="lessThan">
      <formula>59</formula>
    </cfRule>
    <cfRule type="cellIs" dxfId="1634" priority="1266" operator="greaterThan">
      <formula>60</formula>
    </cfRule>
  </conditionalFormatting>
  <conditionalFormatting sqref="L194:M194">
    <cfRule type="cellIs" dxfId="1633" priority="1263" operator="lessThan">
      <formula>59</formula>
    </cfRule>
    <cfRule type="cellIs" dxfId="1632" priority="1264" operator="greaterThan">
      <formula>60</formula>
    </cfRule>
  </conditionalFormatting>
  <conditionalFormatting sqref="L194:M194">
    <cfRule type="cellIs" dxfId="1631" priority="1261" operator="lessThan">
      <formula>59</formula>
    </cfRule>
    <cfRule type="cellIs" dxfId="1630" priority="1262" operator="greaterThan">
      <formula>60</formula>
    </cfRule>
  </conditionalFormatting>
  <conditionalFormatting sqref="L194:M194">
    <cfRule type="cellIs" dxfId="1629" priority="1259" operator="lessThan">
      <formula>59</formula>
    </cfRule>
    <cfRule type="cellIs" dxfId="1628" priority="1260" operator="greaterThan">
      <formula>60</formula>
    </cfRule>
  </conditionalFormatting>
  <conditionalFormatting sqref="L196:M196">
    <cfRule type="cellIs" dxfId="1627" priority="1257" operator="lessThan">
      <formula>59</formula>
    </cfRule>
    <cfRule type="cellIs" dxfId="1626" priority="1258" operator="greaterThan">
      <formula>60</formula>
    </cfRule>
  </conditionalFormatting>
  <conditionalFormatting sqref="L196:M196">
    <cfRule type="cellIs" dxfId="1625" priority="1255" operator="lessThan">
      <formula>59</formula>
    </cfRule>
    <cfRule type="cellIs" dxfId="1624" priority="1256" operator="greaterThan">
      <formula>60</formula>
    </cfRule>
  </conditionalFormatting>
  <conditionalFormatting sqref="L196:M196">
    <cfRule type="cellIs" dxfId="1623" priority="1253" operator="lessThan">
      <formula>59</formula>
    </cfRule>
    <cfRule type="cellIs" dxfId="1622" priority="1254" operator="greaterThan">
      <formula>60</formula>
    </cfRule>
  </conditionalFormatting>
  <conditionalFormatting sqref="L196:M196">
    <cfRule type="cellIs" dxfId="1621" priority="1251" operator="lessThan">
      <formula>59</formula>
    </cfRule>
    <cfRule type="cellIs" dxfId="1620" priority="1252" operator="greaterThan">
      <formula>60</formula>
    </cfRule>
  </conditionalFormatting>
  <conditionalFormatting sqref="L196:M196">
    <cfRule type="cellIs" dxfId="1619" priority="1249" operator="lessThan">
      <formula>59</formula>
    </cfRule>
    <cfRule type="cellIs" dxfId="1618" priority="1250" operator="greaterThan">
      <formula>60</formula>
    </cfRule>
  </conditionalFormatting>
  <conditionalFormatting sqref="L196:M196">
    <cfRule type="cellIs" dxfId="1617" priority="1247" operator="lessThan">
      <formula>59</formula>
    </cfRule>
    <cfRule type="cellIs" dxfId="1616" priority="1248" operator="greaterThan">
      <formula>60</formula>
    </cfRule>
  </conditionalFormatting>
  <conditionalFormatting sqref="L196:M196">
    <cfRule type="cellIs" dxfId="1615" priority="1245" operator="lessThan">
      <formula>59</formula>
    </cfRule>
    <cfRule type="cellIs" dxfId="1614" priority="1246" operator="greaterThan">
      <formula>60</formula>
    </cfRule>
  </conditionalFormatting>
  <conditionalFormatting sqref="L196:M196">
    <cfRule type="cellIs" dxfId="1613" priority="1243" operator="lessThan">
      <formula>59</formula>
    </cfRule>
    <cfRule type="cellIs" dxfId="1612" priority="1244" operator="greaterThan">
      <formula>60</formula>
    </cfRule>
  </conditionalFormatting>
  <conditionalFormatting sqref="L194:M194">
    <cfRule type="cellIs" dxfId="1611" priority="1241" operator="lessThan">
      <formula>59</formula>
    </cfRule>
    <cfRule type="cellIs" dxfId="1610" priority="1242" operator="greaterThan">
      <formula>60</formula>
    </cfRule>
  </conditionalFormatting>
  <conditionalFormatting sqref="L194:M194">
    <cfRule type="cellIs" dxfId="1609" priority="1239" operator="lessThan">
      <formula>59</formula>
    </cfRule>
    <cfRule type="cellIs" dxfId="1608" priority="1240" operator="greaterThan">
      <formula>60</formula>
    </cfRule>
  </conditionalFormatting>
  <conditionalFormatting sqref="L194:M194">
    <cfRule type="cellIs" dxfId="1607" priority="1237" operator="lessThan">
      <formula>59</formula>
    </cfRule>
    <cfRule type="cellIs" dxfId="1606" priority="1238" operator="greaterThan">
      <formula>60</formula>
    </cfRule>
  </conditionalFormatting>
  <conditionalFormatting sqref="L194:M194">
    <cfRule type="cellIs" dxfId="1605" priority="1235" operator="lessThan">
      <formula>59</formula>
    </cfRule>
    <cfRule type="cellIs" dxfId="1604" priority="1236" operator="greaterThan">
      <formula>60</formula>
    </cfRule>
  </conditionalFormatting>
  <conditionalFormatting sqref="L194:M194">
    <cfRule type="cellIs" dxfId="1603" priority="1233" operator="lessThan">
      <formula>59</formula>
    </cfRule>
    <cfRule type="cellIs" dxfId="1602" priority="1234" operator="greaterThan">
      <formula>60</formula>
    </cfRule>
  </conditionalFormatting>
  <conditionalFormatting sqref="L194:M194">
    <cfRule type="cellIs" dxfId="1601" priority="1231" operator="lessThan">
      <formula>59</formula>
    </cfRule>
    <cfRule type="cellIs" dxfId="1600" priority="1232" operator="greaterThan">
      <formula>60</formula>
    </cfRule>
  </conditionalFormatting>
  <conditionalFormatting sqref="L194:M194">
    <cfRule type="cellIs" dxfId="1599" priority="1229" operator="lessThan">
      <formula>59</formula>
    </cfRule>
    <cfRule type="cellIs" dxfId="1598" priority="1230" operator="greaterThan">
      <formula>60</formula>
    </cfRule>
  </conditionalFormatting>
  <conditionalFormatting sqref="L194:M194">
    <cfRule type="cellIs" dxfId="1597" priority="1227" operator="lessThan">
      <formula>59</formula>
    </cfRule>
    <cfRule type="cellIs" dxfId="1596" priority="1228" operator="greaterThan">
      <formula>60</formula>
    </cfRule>
  </conditionalFormatting>
  <conditionalFormatting sqref="L194:M194">
    <cfRule type="cellIs" dxfId="1595" priority="1226" operator="greaterThan">
      <formula>60</formula>
    </cfRule>
  </conditionalFormatting>
  <conditionalFormatting sqref="L194:M194">
    <cfRule type="cellIs" dxfId="1594" priority="1223" stopIfTrue="1" operator="between">
      <formula>150</formula>
      <formula>170</formula>
    </cfRule>
    <cfRule type="cellIs" dxfId="1593" priority="1224" stopIfTrue="1" operator="lessThan">
      <formula>150</formula>
    </cfRule>
    <cfRule type="cellIs" dxfId="1592" priority="1225" stopIfTrue="1" operator="greaterThan">
      <formula>170</formula>
    </cfRule>
  </conditionalFormatting>
  <conditionalFormatting sqref="L194:M194">
    <cfRule type="cellIs" dxfId="1591" priority="1221" operator="lessThan">
      <formula>59</formula>
    </cfRule>
    <cfRule type="cellIs" dxfId="1590" priority="1222" operator="greaterThan">
      <formula>60</formula>
    </cfRule>
  </conditionalFormatting>
  <conditionalFormatting sqref="L194:M194">
    <cfRule type="cellIs" dxfId="1589" priority="1220" operator="greaterThan">
      <formula>60</formula>
    </cfRule>
  </conditionalFormatting>
  <conditionalFormatting sqref="L194:M194">
    <cfRule type="cellIs" dxfId="1588" priority="1217" stopIfTrue="1" operator="between">
      <formula>150</formula>
      <formula>170</formula>
    </cfRule>
    <cfRule type="cellIs" dxfId="1587" priority="1218" stopIfTrue="1" operator="lessThan">
      <formula>150</formula>
    </cfRule>
    <cfRule type="cellIs" dxfId="1586" priority="1219" stopIfTrue="1" operator="greaterThan">
      <formula>170</formula>
    </cfRule>
  </conditionalFormatting>
  <conditionalFormatting sqref="L194:M194">
    <cfRule type="cellIs" dxfId="1585" priority="1215" operator="lessThan">
      <formula>59</formula>
    </cfRule>
    <cfRule type="cellIs" dxfId="1584" priority="1216" operator="greaterThan">
      <formula>60</formula>
    </cfRule>
  </conditionalFormatting>
  <conditionalFormatting sqref="L194:M194">
    <cfRule type="cellIs" dxfId="1583" priority="1214" operator="greaterThan">
      <formula>60</formula>
    </cfRule>
  </conditionalFormatting>
  <conditionalFormatting sqref="L194:M194">
    <cfRule type="cellIs" dxfId="1582" priority="1211" stopIfTrue="1" operator="between">
      <formula>150</formula>
      <formula>170</formula>
    </cfRule>
    <cfRule type="cellIs" dxfId="1581" priority="1212" stopIfTrue="1" operator="lessThan">
      <formula>150</formula>
    </cfRule>
    <cfRule type="cellIs" dxfId="1580" priority="1213" stopIfTrue="1" operator="greaterThan">
      <formula>170</formula>
    </cfRule>
  </conditionalFormatting>
  <conditionalFormatting sqref="L194:M194">
    <cfRule type="cellIs" dxfId="1579" priority="1209" operator="lessThan">
      <formula>59</formula>
    </cfRule>
    <cfRule type="cellIs" dxfId="1578" priority="1210" operator="greaterThan">
      <formula>60</formula>
    </cfRule>
  </conditionalFormatting>
  <conditionalFormatting sqref="L194:M194">
    <cfRule type="cellIs" dxfId="1577" priority="1208" operator="greaterThan">
      <formula>60</formula>
    </cfRule>
  </conditionalFormatting>
  <conditionalFormatting sqref="L194:M194">
    <cfRule type="cellIs" dxfId="1576" priority="1206" operator="lessThan">
      <formula>59</formula>
    </cfRule>
    <cfRule type="cellIs" dxfId="1575" priority="1207" operator="greaterThan">
      <formula>60</formula>
    </cfRule>
  </conditionalFormatting>
  <conditionalFormatting sqref="L194:M194">
    <cfRule type="cellIs" dxfId="1574" priority="1205" operator="greaterThan">
      <formula>60</formula>
    </cfRule>
  </conditionalFormatting>
  <conditionalFormatting sqref="L194:M194">
    <cfRule type="cellIs" dxfId="1573" priority="1203" operator="lessThan">
      <formula>59</formula>
    </cfRule>
    <cfRule type="cellIs" dxfId="1572" priority="1204" operator="greaterThan">
      <formula>60</formula>
    </cfRule>
  </conditionalFormatting>
  <conditionalFormatting sqref="L194:M194">
    <cfRule type="cellIs" dxfId="1571" priority="1202" operator="greaterThan">
      <formula>60</formula>
    </cfRule>
  </conditionalFormatting>
  <conditionalFormatting sqref="L194:M194">
    <cfRule type="cellIs" dxfId="1570" priority="1199" stopIfTrue="1" operator="between">
      <formula>150</formula>
      <formula>170</formula>
    </cfRule>
    <cfRule type="cellIs" dxfId="1569" priority="1200" stopIfTrue="1" operator="lessThan">
      <formula>150</formula>
    </cfRule>
    <cfRule type="cellIs" dxfId="1568" priority="1201" stopIfTrue="1" operator="greaterThan">
      <formula>170</formula>
    </cfRule>
  </conditionalFormatting>
  <conditionalFormatting sqref="L194:M194">
    <cfRule type="cellIs" dxfId="1567" priority="1197" operator="lessThan">
      <formula>59</formula>
    </cfRule>
    <cfRule type="cellIs" dxfId="1566" priority="1198" operator="greaterThan">
      <formula>60</formula>
    </cfRule>
  </conditionalFormatting>
  <conditionalFormatting sqref="L194:M194">
    <cfRule type="cellIs" dxfId="1565" priority="1196" operator="greaterThan">
      <formula>60</formula>
    </cfRule>
  </conditionalFormatting>
  <conditionalFormatting sqref="L194:M194">
    <cfRule type="cellIs" dxfId="1564" priority="1194" operator="lessThan">
      <formula>59</formula>
    </cfRule>
    <cfRule type="cellIs" dxfId="1563" priority="1195" operator="greaterThan">
      <formula>60</formula>
    </cfRule>
  </conditionalFormatting>
  <conditionalFormatting sqref="L194:M194">
    <cfRule type="cellIs" dxfId="1562" priority="1193" operator="greaterThan">
      <formula>60</formula>
    </cfRule>
  </conditionalFormatting>
  <conditionalFormatting sqref="L194:M194">
    <cfRule type="cellIs" dxfId="1561" priority="1190" stopIfTrue="1" operator="between">
      <formula>150</formula>
      <formula>170</formula>
    </cfRule>
    <cfRule type="cellIs" dxfId="1560" priority="1191" stopIfTrue="1" operator="lessThan">
      <formula>150</formula>
    </cfRule>
    <cfRule type="cellIs" dxfId="1559" priority="1192" stopIfTrue="1" operator="greaterThan">
      <formula>170</formula>
    </cfRule>
  </conditionalFormatting>
  <conditionalFormatting sqref="L194:M194">
    <cfRule type="cellIs" dxfId="1558" priority="1188" operator="lessThan">
      <formula>59</formula>
    </cfRule>
    <cfRule type="cellIs" dxfId="1557" priority="1189" operator="greaterThan">
      <formula>60</formula>
    </cfRule>
  </conditionalFormatting>
  <conditionalFormatting sqref="L194:M194">
    <cfRule type="cellIs" dxfId="1556" priority="1187" operator="greaterThan">
      <formula>60</formula>
    </cfRule>
  </conditionalFormatting>
  <conditionalFormatting sqref="L194:M194">
    <cfRule type="cellIs" dxfId="1555" priority="1185" operator="lessThan">
      <formula>59</formula>
    </cfRule>
    <cfRule type="cellIs" dxfId="1554" priority="1186" operator="greaterThan">
      <formula>60</formula>
    </cfRule>
  </conditionalFormatting>
  <conditionalFormatting sqref="L194:M194">
    <cfRule type="cellIs" dxfId="1553" priority="1184" operator="greaterThan">
      <formula>60</formula>
    </cfRule>
  </conditionalFormatting>
  <conditionalFormatting sqref="L194:M194">
    <cfRule type="cellIs" dxfId="1552" priority="1181" stopIfTrue="1" operator="between">
      <formula>150</formula>
      <formula>170</formula>
    </cfRule>
    <cfRule type="cellIs" dxfId="1551" priority="1182" stopIfTrue="1" operator="lessThan">
      <formula>150</formula>
    </cfRule>
    <cfRule type="cellIs" dxfId="1550" priority="1183" stopIfTrue="1" operator="greaterThan">
      <formula>170</formula>
    </cfRule>
  </conditionalFormatting>
  <conditionalFormatting sqref="L194:M194">
    <cfRule type="cellIs" dxfId="1549" priority="1179" operator="lessThan">
      <formula>59</formula>
    </cfRule>
    <cfRule type="cellIs" dxfId="1548" priority="1180" operator="greaterThan">
      <formula>60</formula>
    </cfRule>
  </conditionalFormatting>
  <conditionalFormatting sqref="L194:M194">
    <cfRule type="cellIs" dxfId="1547" priority="1178" operator="greaterThan">
      <formula>60</formula>
    </cfRule>
  </conditionalFormatting>
  <conditionalFormatting sqref="L194:M194">
    <cfRule type="cellIs" dxfId="1546" priority="1176" operator="lessThan">
      <formula>59</formula>
    </cfRule>
    <cfRule type="cellIs" dxfId="1545" priority="1177" operator="greaterThan">
      <formula>60</formula>
    </cfRule>
  </conditionalFormatting>
  <conditionalFormatting sqref="L194:M194">
    <cfRule type="cellIs" dxfId="1544" priority="1175" operator="greaterThan">
      <formula>60</formula>
    </cfRule>
  </conditionalFormatting>
  <conditionalFormatting sqref="L194:M194">
    <cfRule type="cellIs" dxfId="1543" priority="1172" stopIfTrue="1" operator="between">
      <formula>150</formula>
      <formula>170</formula>
    </cfRule>
    <cfRule type="cellIs" dxfId="1542" priority="1173" stopIfTrue="1" operator="lessThan">
      <formula>150</formula>
    </cfRule>
    <cfRule type="cellIs" dxfId="1541" priority="1174" stopIfTrue="1" operator="greaterThan">
      <formula>170</formula>
    </cfRule>
  </conditionalFormatting>
  <conditionalFormatting sqref="L194:M194">
    <cfRule type="cellIs" dxfId="1540" priority="1170" operator="lessThan">
      <formula>59</formula>
    </cfRule>
    <cfRule type="cellIs" dxfId="1539" priority="1171" operator="greaterThan">
      <formula>60</formula>
    </cfRule>
  </conditionalFormatting>
  <conditionalFormatting sqref="L194:M194">
    <cfRule type="cellIs" dxfId="1538" priority="1169" operator="greaterThan">
      <formula>60</formula>
    </cfRule>
  </conditionalFormatting>
  <conditionalFormatting sqref="L194:M194">
    <cfRule type="cellIs" dxfId="1537" priority="1167" operator="lessThan">
      <formula>59</formula>
    </cfRule>
    <cfRule type="cellIs" dxfId="1536" priority="1168" operator="greaterThan">
      <formula>60</formula>
    </cfRule>
  </conditionalFormatting>
  <conditionalFormatting sqref="L194:M194">
    <cfRule type="cellIs" dxfId="1535" priority="1166" operator="greaterThan">
      <formula>60</formula>
    </cfRule>
  </conditionalFormatting>
  <conditionalFormatting sqref="L194:M194">
    <cfRule type="cellIs" dxfId="1534" priority="1163" stopIfTrue="1" operator="between">
      <formula>150</formula>
      <formula>170</formula>
    </cfRule>
    <cfRule type="cellIs" dxfId="1533" priority="1164" stopIfTrue="1" operator="lessThan">
      <formula>150</formula>
    </cfRule>
    <cfRule type="cellIs" dxfId="1532" priority="1165" stopIfTrue="1" operator="greaterThan">
      <formula>170</formula>
    </cfRule>
  </conditionalFormatting>
  <conditionalFormatting sqref="L194:M194">
    <cfRule type="cellIs" dxfId="1531" priority="1161" operator="lessThan">
      <formula>59</formula>
    </cfRule>
    <cfRule type="cellIs" dxfId="1530" priority="1162" operator="greaterThan">
      <formula>60</formula>
    </cfRule>
  </conditionalFormatting>
  <conditionalFormatting sqref="L92">
    <cfRule type="cellIs" dxfId="1529" priority="1160" operator="greaterThan">
      <formula>60</formula>
    </cfRule>
  </conditionalFormatting>
  <conditionalFormatting sqref="L92">
    <cfRule type="cellIs" dxfId="1528" priority="1157" stopIfTrue="1" operator="between">
      <formula>150</formula>
      <formula>170</formula>
    </cfRule>
    <cfRule type="cellIs" dxfId="1527" priority="1158" stopIfTrue="1" operator="lessThan">
      <formula>150</formula>
    </cfRule>
    <cfRule type="cellIs" dxfId="1526" priority="1159" stopIfTrue="1" operator="greaterThan">
      <formula>170</formula>
    </cfRule>
  </conditionalFormatting>
  <conditionalFormatting sqref="L92:M92">
    <cfRule type="cellIs" dxfId="1525" priority="1155" operator="lessThan">
      <formula>59</formula>
    </cfRule>
    <cfRule type="cellIs" dxfId="1524" priority="1156" operator="greaterThan">
      <formula>60</formula>
    </cfRule>
  </conditionalFormatting>
  <conditionalFormatting sqref="L92:M92">
    <cfRule type="cellIs" dxfId="1523" priority="1154" operator="greaterThan">
      <formula>60</formula>
    </cfRule>
  </conditionalFormatting>
  <conditionalFormatting sqref="L92:M92">
    <cfRule type="cellIs" dxfId="1522" priority="1151" stopIfTrue="1" operator="between">
      <formula>150</formula>
      <formula>170</formula>
    </cfRule>
    <cfRule type="cellIs" dxfId="1521" priority="1152" stopIfTrue="1" operator="lessThan">
      <formula>150</formula>
    </cfRule>
    <cfRule type="cellIs" dxfId="1520" priority="1153" stopIfTrue="1" operator="greaterThan">
      <formula>170</formula>
    </cfRule>
  </conditionalFormatting>
  <conditionalFormatting sqref="L68">
    <cfRule type="cellIs" dxfId="1519" priority="1150" operator="greaterThan">
      <formula>60</formula>
    </cfRule>
  </conditionalFormatting>
  <conditionalFormatting sqref="L68">
    <cfRule type="cellIs" dxfId="1518" priority="1147" stopIfTrue="1" operator="between">
      <formula>150</formula>
      <formula>170</formula>
    </cfRule>
    <cfRule type="cellIs" dxfId="1517" priority="1148" stopIfTrue="1" operator="lessThan">
      <formula>150</formula>
    </cfRule>
    <cfRule type="cellIs" dxfId="1516" priority="1149" stopIfTrue="1" operator="greaterThan">
      <formula>170</formula>
    </cfRule>
  </conditionalFormatting>
  <conditionalFormatting sqref="L68:M68">
    <cfRule type="cellIs" dxfId="1515" priority="1145" operator="lessThan">
      <formula>59</formula>
    </cfRule>
    <cfRule type="cellIs" dxfId="1514" priority="1146" operator="greaterThan">
      <formula>60</formula>
    </cfRule>
  </conditionalFormatting>
  <conditionalFormatting sqref="L68:M68">
    <cfRule type="cellIs" dxfId="1513" priority="1144" operator="greaterThan">
      <formula>60</formula>
    </cfRule>
  </conditionalFormatting>
  <conditionalFormatting sqref="L68:M68">
    <cfRule type="cellIs" dxfId="1512" priority="1141" stopIfTrue="1" operator="between">
      <formula>150</formula>
      <formula>170</formula>
    </cfRule>
    <cfRule type="cellIs" dxfId="1511" priority="1142" stopIfTrue="1" operator="lessThan">
      <formula>150</formula>
    </cfRule>
    <cfRule type="cellIs" dxfId="1510" priority="1143" stopIfTrue="1" operator="greaterThan">
      <formula>170</formula>
    </cfRule>
  </conditionalFormatting>
  <conditionalFormatting sqref="L16">
    <cfRule type="cellIs" dxfId="1509" priority="1140" operator="greaterThan">
      <formula>60</formula>
    </cfRule>
  </conditionalFormatting>
  <conditionalFormatting sqref="L16">
    <cfRule type="cellIs" dxfId="1508" priority="1137" stopIfTrue="1" operator="between">
      <formula>150</formula>
      <formula>170</formula>
    </cfRule>
    <cfRule type="cellIs" dxfId="1507" priority="1138" stopIfTrue="1" operator="lessThan">
      <formula>150</formula>
    </cfRule>
    <cfRule type="cellIs" dxfId="1506" priority="1139" stopIfTrue="1" operator="greaterThan">
      <formula>170</formula>
    </cfRule>
  </conditionalFormatting>
  <conditionalFormatting sqref="L16:M16">
    <cfRule type="cellIs" dxfId="1505" priority="1135" operator="lessThan">
      <formula>59</formula>
    </cfRule>
    <cfRule type="cellIs" dxfId="1504" priority="1136" operator="greaterThan">
      <formula>60</formula>
    </cfRule>
  </conditionalFormatting>
  <conditionalFormatting sqref="L16:M16">
    <cfRule type="cellIs" dxfId="1503" priority="1134" operator="greaterThan">
      <formula>60</formula>
    </cfRule>
  </conditionalFormatting>
  <conditionalFormatting sqref="L16:M16">
    <cfRule type="cellIs" dxfId="1502" priority="1131" stopIfTrue="1" operator="between">
      <formula>150</formula>
      <formula>170</formula>
    </cfRule>
    <cfRule type="cellIs" dxfId="1501" priority="1132" stopIfTrue="1" operator="lessThan">
      <formula>150</formula>
    </cfRule>
    <cfRule type="cellIs" dxfId="1500" priority="1133" stopIfTrue="1" operator="greaterThan">
      <formula>170</formula>
    </cfRule>
  </conditionalFormatting>
  <conditionalFormatting sqref="L45">
    <cfRule type="cellIs" dxfId="1499" priority="1130" operator="greaterThan">
      <formula>60</formula>
    </cfRule>
  </conditionalFormatting>
  <conditionalFormatting sqref="L45">
    <cfRule type="cellIs" dxfId="1498" priority="1127" stopIfTrue="1" operator="between">
      <formula>150</formula>
      <formula>170</formula>
    </cfRule>
    <cfRule type="cellIs" dxfId="1497" priority="1128" stopIfTrue="1" operator="lessThan">
      <formula>150</formula>
    </cfRule>
    <cfRule type="cellIs" dxfId="1496" priority="1129" stopIfTrue="1" operator="greaterThan">
      <formula>170</formula>
    </cfRule>
  </conditionalFormatting>
  <conditionalFormatting sqref="L45:M45">
    <cfRule type="cellIs" dxfId="1495" priority="1125" operator="lessThan">
      <formula>59</formula>
    </cfRule>
    <cfRule type="cellIs" dxfId="1494" priority="1126" operator="greaterThan">
      <formula>60</formula>
    </cfRule>
  </conditionalFormatting>
  <conditionalFormatting sqref="L45:M45">
    <cfRule type="cellIs" dxfId="1493" priority="1124" operator="greaterThan">
      <formula>60</formula>
    </cfRule>
  </conditionalFormatting>
  <conditionalFormatting sqref="L45:M45">
    <cfRule type="cellIs" dxfId="1492" priority="1121" stopIfTrue="1" operator="between">
      <formula>150</formula>
      <formula>170</formula>
    </cfRule>
    <cfRule type="cellIs" dxfId="1491" priority="1122" stopIfTrue="1" operator="lessThan">
      <formula>150</formula>
    </cfRule>
    <cfRule type="cellIs" dxfId="1490" priority="1123" stopIfTrue="1" operator="greaterThan">
      <formula>170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6:M6 L9:M9 L12:M13 L18:M21 L23:M26 L28:M30 L32:M34 L36:M37 L39:M42 L91:M92 L65:M68 L15:M16 L84:M86 L119:M121 L97:M100 L108:M110 L112:M114 L155:M157 L159:M161 L146:M149 L123:M125 L44:M45">
    <cfRule type="cellIs" dxfId="1489" priority="1119" operator="lessThan">
      <formula>59</formula>
    </cfRule>
    <cfRule type="cellIs" dxfId="1488" priority="1120" operator="greaterThan">
      <formula>60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1:M1 L3:M3 L5:M9 L11:M13 L18:M21 L23:M26 L28:M30 L32:M34 L36:M37 L39:M42 L91:M92 L65:M68 L15:M16 L84:M86 L119:M121 L97:M100 L108:M110 L112:M114 L155:M157 L159:M161 L146:M149 L123:M125 L44:M45">
    <cfRule type="cellIs" dxfId="1487" priority="1118" operator="greaterThan">
      <formula>60</formula>
    </cfRule>
  </conditionalFormatting>
  <conditionalFormatting sqref="L142:M144 L151:M153 L163:M163 L133:M134 L136:M137 L139:M140 L130:M131 L102:M103 L105:M106 L116:M117 L127:M128 L94:M95 L88:M89 L54:M55 L57:M59 L61:M63 L70:M71 L73:M74 L76:M77 L79:M82 L47:M49 L51:M52 L8:M9 L11:M13 L18:M21 L23:M26 L28:M30 L32:M34 L36:M37 L39:M42 L91:M92 L65:M68 L15:M16 L84:M86 L119:M121 L97:M100 L108:M110 L112:M114 L155:M157 L159:M161 L146:M149 L123:M125 L44:M45">
    <cfRule type="cellIs" dxfId="1486" priority="1115" stopIfTrue="1" operator="between">
      <formula>150</formula>
      <formula>170</formula>
    </cfRule>
    <cfRule type="cellIs" dxfId="1485" priority="1116" stopIfTrue="1" operator="lessThan">
      <formula>150</formula>
    </cfRule>
    <cfRule type="cellIs" dxfId="1484" priority="1117" stopIfTrue="1" operator="greaterThan">
      <formula>170</formula>
    </cfRule>
  </conditionalFormatting>
  <conditionalFormatting sqref="L166:M166 L164:M164">
    <cfRule type="cellIs" dxfId="1483" priority="1113" operator="lessThan">
      <formula>59</formula>
    </cfRule>
    <cfRule type="cellIs" dxfId="1482" priority="1114" operator="greaterThan">
      <formula>60</formula>
    </cfRule>
  </conditionalFormatting>
  <conditionalFormatting sqref="L166:M166 L164:M164">
    <cfRule type="cellIs" dxfId="1481" priority="1112" operator="greaterThan">
      <formula>60</formula>
    </cfRule>
  </conditionalFormatting>
  <conditionalFormatting sqref="L166:M166 L164:M164">
    <cfRule type="cellIs" dxfId="1480" priority="1109" stopIfTrue="1" operator="between">
      <formula>150</formula>
      <formula>170</formula>
    </cfRule>
    <cfRule type="cellIs" dxfId="1479" priority="1110" stopIfTrue="1" operator="lessThan">
      <formula>150</formula>
    </cfRule>
    <cfRule type="cellIs" dxfId="1478" priority="1111" stopIfTrue="1" operator="greaterThan">
      <formula>170</formula>
    </cfRule>
  </conditionalFormatting>
  <conditionalFormatting sqref="L167:M169">
    <cfRule type="cellIs" dxfId="1477" priority="1107" operator="lessThan">
      <formula>59</formula>
    </cfRule>
    <cfRule type="cellIs" dxfId="1476" priority="1108" operator="greaterThan">
      <formula>60</formula>
    </cfRule>
  </conditionalFormatting>
  <conditionalFormatting sqref="L167:M169">
    <cfRule type="cellIs" dxfId="1475" priority="1106" operator="greaterThan">
      <formula>60</formula>
    </cfRule>
  </conditionalFormatting>
  <conditionalFormatting sqref="L167:M169">
    <cfRule type="cellIs" dxfId="1474" priority="1103" stopIfTrue="1" operator="between">
      <formula>150</formula>
      <formula>170</formula>
    </cfRule>
    <cfRule type="cellIs" dxfId="1473" priority="1104" stopIfTrue="1" operator="lessThan">
      <formula>150</formula>
    </cfRule>
    <cfRule type="cellIs" dxfId="1472" priority="1105" stopIfTrue="1" operator="greaterThan">
      <formula>170</formula>
    </cfRule>
  </conditionalFormatting>
  <conditionalFormatting sqref="L172:M172 L170:M170">
    <cfRule type="cellIs" dxfId="1471" priority="1101" operator="lessThan">
      <formula>59</formula>
    </cfRule>
    <cfRule type="cellIs" dxfId="1470" priority="1102" operator="greaterThan">
      <formula>60</formula>
    </cfRule>
  </conditionalFormatting>
  <conditionalFormatting sqref="L172:M172 L170:M170">
    <cfRule type="cellIs" dxfId="1469" priority="1100" operator="greaterThan">
      <formula>60</formula>
    </cfRule>
  </conditionalFormatting>
  <conditionalFormatting sqref="L172:M172 L170:M170">
    <cfRule type="cellIs" dxfId="1468" priority="1097" stopIfTrue="1" operator="between">
      <formula>150</formula>
      <formula>170</formula>
    </cfRule>
    <cfRule type="cellIs" dxfId="1467" priority="1098" stopIfTrue="1" operator="lessThan">
      <formula>150</formula>
    </cfRule>
    <cfRule type="cellIs" dxfId="1466" priority="1099" stopIfTrue="1" operator="greaterThan">
      <formula>170</formula>
    </cfRule>
  </conditionalFormatting>
  <conditionalFormatting sqref="L173:M173 L175:M175">
    <cfRule type="cellIs" dxfId="1465" priority="1095" operator="lessThan">
      <formula>59</formula>
    </cfRule>
    <cfRule type="cellIs" dxfId="1464" priority="1096" operator="greaterThan">
      <formula>60</formula>
    </cfRule>
  </conditionalFormatting>
  <conditionalFormatting sqref="L173:M173 L175:M175">
    <cfRule type="cellIs" dxfId="1463" priority="1094" operator="greaterThan">
      <formula>60</formula>
    </cfRule>
  </conditionalFormatting>
  <conditionalFormatting sqref="L173:M173 L175:M175">
    <cfRule type="cellIs" dxfId="1462" priority="1091" stopIfTrue="1" operator="between">
      <formula>150</formula>
      <formula>170</formula>
    </cfRule>
    <cfRule type="cellIs" dxfId="1461" priority="1092" stopIfTrue="1" operator="lessThan">
      <formula>150</formula>
    </cfRule>
    <cfRule type="cellIs" dxfId="1460" priority="1093" stopIfTrue="1" operator="greaterThan">
      <formula>170</formula>
    </cfRule>
  </conditionalFormatting>
  <conditionalFormatting sqref="L176:M176 L178:M178">
    <cfRule type="cellIs" dxfId="1459" priority="1089" operator="lessThan">
      <formula>59</formula>
    </cfRule>
    <cfRule type="cellIs" dxfId="1458" priority="1090" operator="greaterThan">
      <formula>60</formula>
    </cfRule>
  </conditionalFormatting>
  <conditionalFormatting sqref="L176:M176 L178:M178">
    <cfRule type="cellIs" dxfId="1457" priority="1088" operator="greaterThan">
      <formula>60</formula>
    </cfRule>
  </conditionalFormatting>
  <conditionalFormatting sqref="L176:M176 L178:M178">
    <cfRule type="cellIs" dxfId="1456" priority="1085" stopIfTrue="1" operator="between">
      <formula>150</formula>
      <formula>170</formula>
    </cfRule>
    <cfRule type="cellIs" dxfId="1455" priority="1086" stopIfTrue="1" operator="lessThan">
      <formula>150</formula>
    </cfRule>
    <cfRule type="cellIs" dxfId="1454" priority="1087" stopIfTrue="1" operator="greaterThan">
      <formula>170</formula>
    </cfRule>
  </conditionalFormatting>
  <conditionalFormatting sqref="L179:M179 L181:M181">
    <cfRule type="cellIs" dxfId="1453" priority="1083" operator="lessThan">
      <formula>59</formula>
    </cfRule>
    <cfRule type="cellIs" dxfId="1452" priority="1084" operator="greaterThan">
      <formula>60</formula>
    </cfRule>
  </conditionalFormatting>
  <conditionalFormatting sqref="L179:M179 L181:M181">
    <cfRule type="cellIs" dxfId="1451" priority="1082" operator="greaterThan">
      <formula>60</formula>
    </cfRule>
  </conditionalFormatting>
  <conditionalFormatting sqref="L179:M179 L181:M181">
    <cfRule type="cellIs" dxfId="1450" priority="1079" stopIfTrue="1" operator="between">
      <formula>150</formula>
      <formula>170</formula>
    </cfRule>
    <cfRule type="cellIs" dxfId="1449" priority="1080" stopIfTrue="1" operator="lessThan">
      <formula>150</formula>
    </cfRule>
    <cfRule type="cellIs" dxfId="1448" priority="1081" stopIfTrue="1" operator="greaterThan">
      <formula>170</formula>
    </cfRule>
  </conditionalFormatting>
  <conditionalFormatting sqref="L182:M182 L184:M184">
    <cfRule type="cellIs" dxfId="1447" priority="1077" operator="lessThan">
      <formula>59</formula>
    </cfRule>
    <cfRule type="cellIs" dxfId="1446" priority="1078" operator="greaterThan">
      <formula>60</formula>
    </cfRule>
  </conditionalFormatting>
  <conditionalFormatting sqref="L182:M182 L184:M184">
    <cfRule type="cellIs" dxfId="1445" priority="1076" operator="greaterThan">
      <formula>60</formula>
    </cfRule>
  </conditionalFormatting>
  <conditionalFormatting sqref="L182:M182 L184:M184">
    <cfRule type="cellIs" dxfId="1444" priority="1073" stopIfTrue="1" operator="between">
      <formula>150</formula>
      <formula>170</formula>
    </cfRule>
    <cfRule type="cellIs" dxfId="1443" priority="1074" stopIfTrue="1" operator="lessThan">
      <formula>150</formula>
    </cfRule>
    <cfRule type="cellIs" dxfId="1442" priority="1075" stopIfTrue="1" operator="greaterThan">
      <formula>170</formula>
    </cfRule>
  </conditionalFormatting>
  <conditionalFormatting sqref="L185:M185 L187:M187">
    <cfRule type="cellIs" dxfId="1441" priority="1071" operator="lessThan">
      <formula>59</formula>
    </cfRule>
    <cfRule type="cellIs" dxfId="1440" priority="1072" operator="greaterThan">
      <formula>60</formula>
    </cfRule>
  </conditionalFormatting>
  <conditionalFormatting sqref="L185:M185 L187:M187">
    <cfRule type="cellIs" dxfId="1439" priority="1070" operator="greaterThan">
      <formula>60</formula>
    </cfRule>
  </conditionalFormatting>
  <conditionalFormatting sqref="L185:M185 L187:M187">
    <cfRule type="cellIs" dxfId="1438" priority="1067" stopIfTrue="1" operator="between">
      <formula>150</formula>
      <formula>170</formula>
    </cfRule>
    <cfRule type="cellIs" dxfId="1437" priority="1068" stopIfTrue="1" operator="lessThan">
      <formula>150</formula>
    </cfRule>
    <cfRule type="cellIs" dxfId="1436" priority="1069" stopIfTrue="1" operator="greaterThan">
      <formula>170</formula>
    </cfRule>
  </conditionalFormatting>
  <conditionalFormatting sqref="L188:M188 L190:M190">
    <cfRule type="cellIs" dxfId="1435" priority="1065" operator="lessThan">
      <formula>59</formula>
    </cfRule>
    <cfRule type="cellIs" dxfId="1434" priority="1066" operator="greaterThan">
      <formula>60</formula>
    </cfRule>
  </conditionalFormatting>
  <conditionalFormatting sqref="L188:M188 L190:M190">
    <cfRule type="cellIs" dxfId="1433" priority="1064" operator="greaterThan">
      <formula>60</formula>
    </cfRule>
  </conditionalFormatting>
  <conditionalFormatting sqref="L188:M188 L190:M190">
    <cfRule type="cellIs" dxfId="1432" priority="1061" stopIfTrue="1" operator="between">
      <formula>150</formula>
      <formula>170</formula>
    </cfRule>
    <cfRule type="cellIs" dxfId="1431" priority="1062" stopIfTrue="1" operator="lessThan">
      <formula>150</formula>
    </cfRule>
    <cfRule type="cellIs" dxfId="1430" priority="1063" stopIfTrue="1" operator="greaterThan">
      <formula>170</formula>
    </cfRule>
  </conditionalFormatting>
  <conditionalFormatting sqref="L193:M193 L191:M191">
    <cfRule type="cellIs" dxfId="1429" priority="1059" operator="lessThan">
      <formula>59</formula>
    </cfRule>
    <cfRule type="cellIs" dxfId="1428" priority="1060" operator="greaterThan">
      <formula>60</formula>
    </cfRule>
  </conditionalFormatting>
  <conditionalFormatting sqref="L193:M193 L191:M191">
    <cfRule type="cellIs" dxfId="1427" priority="1058" operator="greaterThan">
      <formula>60</formula>
    </cfRule>
  </conditionalFormatting>
  <conditionalFormatting sqref="L193:M193 L191:M191">
    <cfRule type="cellIs" dxfId="1426" priority="1055" stopIfTrue="1" operator="between">
      <formula>150</formula>
      <formula>170</formula>
    </cfRule>
    <cfRule type="cellIs" dxfId="1425" priority="1056" stopIfTrue="1" operator="lessThan">
      <formula>150</formula>
    </cfRule>
    <cfRule type="cellIs" dxfId="1424" priority="1057" stopIfTrue="1" operator="greaterThan">
      <formula>170</formula>
    </cfRule>
  </conditionalFormatting>
  <conditionalFormatting sqref="L196:M196 L194:M194">
    <cfRule type="cellIs" dxfId="1423" priority="1054" operator="greaterThan">
      <formula>60</formula>
    </cfRule>
  </conditionalFormatting>
  <conditionalFormatting sqref="L196:M196 L194:M194">
    <cfRule type="cellIs" dxfId="1422" priority="1051" stopIfTrue="1" operator="between">
      <formula>150</formula>
      <formula>170</formula>
    </cfRule>
    <cfRule type="cellIs" dxfId="1421" priority="1052" stopIfTrue="1" operator="lessThan">
      <formula>150</formula>
    </cfRule>
    <cfRule type="cellIs" dxfId="1420" priority="1053" stopIfTrue="1" operator="greaterThan">
      <formula>170</formula>
    </cfRule>
  </conditionalFormatting>
  <conditionalFormatting sqref="L194:M194">
    <cfRule type="cellIs" dxfId="1419" priority="1049" operator="lessThan">
      <formula>59</formula>
    </cfRule>
    <cfRule type="cellIs" dxfId="1418" priority="1050" operator="greaterThan">
      <formula>60</formula>
    </cfRule>
  </conditionalFormatting>
  <conditionalFormatting sqref="L194:M194">
    <cfRule type="cellIs" dxfId="1417" priority="1047" operator="lessThan">
      <formula>59</formula>
    </cfRule>
    <cfRule type="cellIs" dxfId="1416" priority="1048" operator="greaterThan">
      <formula>60</formula>
    </cfRule>
  </conditionalFormatting>
  <conditionalFormatting sqref="L194:M194">
    <cfRule type="cellIs" dxfId="1415" priority="1045" operator="lessThan">
      <formula>59</formula>
    </cfRule>
    <cfRule type="cellIs" dxfId="1414" priority="1046" operator="greaterThan">
      <formula>60</formula>
    </cfRule>
  </conditionalFormatting>
  <conditionalFormatting sqref="L194:M194">
    <cfRule type="cellIs" dxfId="1413" priority="1043" operator="lessThan">
      <formula>59</formula>
    </cfRule>
    <cfRule type="cellIs" dxfId="1412" priority="1044" operator="greaterThan">
      <formula>60</formula>
    </cfRule>
  </conditionalFormatting>
  <conditionalFormatting sqref="L196:M196">
    <cfRule type="cellIs" dxfId="1411" priority="1041" operator="lessThan">
      <formula>59</formula>
    </cfRule>
    <cfRule type="cellIs" dxfId="1410" priority="1042" operator="greaterThan">
      <formula>60</formula>
    </cfRule>
  </conditionalFormatting>
  <conditionalFormatting sqref="L194:M194">
    <cfRule type="cellIs" dxfId="1409" priority="1039" operator="lessThan">
      <formula>59</formula>
    </cfRule>
    <cfRule type="cellIs" dxfId="1408" priority="1040" operator="greaterThan">
      <formula>60</formula>
    </cfRule>
  </conditionalFormatting>
  <conditionalFormatting sqref="L196:M196">
    <cfRule type="cellIs" dxfId="1407" priority="1037" operator="lessThan">
      <formula>59</formula>
    </cfRule>
    <cfRule type="cellIs" dxfId="1406" priority="1038" operator="greaterThan">
      <formula>60</formula>
    </cfRule>
  </conditionalFormatting>
  <conditionalFormatting sqref="L196:M196">
    <cfRule type="cellIs" dxfId="1405" priority="1035" operator="lessThan">
      <formula>59</formula>
    </cfRule>
    <cfRule type="cellIs" dxfId="1404" priority="1036" operator="greaterThan">
      <formula>60</formula>
    </cfRule>
  </conditionalFormatting>
  <conditionalFormatting sqref="L196:M196">
    <cfRule type="cellIs" dxfId="1403" priority="1033" operator="lessThan">
      <formula>59</formula>
    </cfRule>
    <cfRule type="cellIs" dxfId="1402" priority="1034" operator="greaterThan">
      <formula>60</formula>
    </cfRule>
  </conditionalFormatting>
  <conditionalFormatting sqref="L196:M196">
    <cfRule type="cellIs" dxfId="1401" priority="1031" operator="lessThan">
      <formula>59</formula>
    </cfRule>
    <cfRule type="cellIs" dxfId="1400" priority="1032" operator="greaterThan">
      <formula>60</formula>
    </cfRule>
  </conditionalFormatting>
  <conditionalFormatting sqref="L196:M196">
    <cfRule type="cellIs" dxfId="1399" priority="1029" operator="lessThan">
      <formula>59</formula>
    </cfRule>
    <cfRule type="cellIs" dxfId="1398" priority="1030" operator="greaterThan">
      <formula>60</formula>
    </cfRule>
  </conditionalFormatting>
  <conditionalFormatting sqref="L196:M196">
    <cfRule type="cellIs" dxfId="1397" priority="1027" operator="lessThan">
      <formula>59</formula>
    </cfRule>
    <cfRule type="cellIs" dxfId="1396" priority="1028" operator="greaterThan">
      <formula>60</formula>
    </cfRule>
  </conditionalFormatting>
  <conditionalFormatting sqref="L196:M196">
    <cfRule type="cellIs" dxfId="1395" priority="1025" operator="lessThan">
      <formula>59</formula>
    </cfRule>
    <cfRule type="cellIs" dxfId="1394" priority="1026" operator="greaterThan">
      <formula>60</formula>
    </cfRule>
  </conditionalFormatting>
  <conditionalFormatting sqref="L194:M194">
    <cfRule type="cellIs" dxfId="1393" priority="1023" operator="lessThan">
      <formula>59</formula>
    </cfRule>
    <cfRule type="cellIs" dxfId="1392" priority="1024" operator="greaterThan">
      <formula>60</formula>
    </cfRule>
  </conditionalFormatting>
  <conditionalFormatting sqref="L194:M194">
    <cfRule type="cellIs" dxfId="1391" priority="1021" operator="lessThan">
      <formula>59</formula>
    </cfRule>
    <cfRule type="cellIs" dxfId="1390" priority="1022" operator="greaterThan">
      <formula>60</formula>
    </cfRule>
  </conditionalFormatting>
  <conditionalFormatting sqref="L194:M194">
    <cfRule type="cellIs" dxfId="1389" priority="1019" operator="lessThan">
      <formula>59</formula>
    </cfRule>
    <cfRule type="cellIs" dxfId="1388" priority="1020" operator="greaterThan">
      <formula>60</formula>
    </cfRule>
  </conditionalFormatting>
  <conditionalFormatting sqref="L196:M196">
    <cfRule type="cellIs" dxfId="1387" priority="1017" operator="lessThan">
      <formula>59</formula>
    </cfRule>
    <cfRule type="cellIs" dxfId="1386" priority="1018" operator="greaterThan">
      <formula>60</formula>
    </cfRule>
  </conditionalFormatting>
  <conditionalFormatting sqref="L196:M196">
    <cfRule type="cellIs" dxfId="1385" priority="1015" operator="lessThan">
      <formula>59</formula>
    </cfRule>
    <cfRule type="cellIs" dxfId="1384" priority="1016" operator="greaterThan">
      <formula>60</formula>
    </cfRule>
  </conditionalFormatting>
  <conditionalFormatting sqref="L196:M196">
    <cfRule type="cellIs" dxfId="1383" priority="1013" operator="lessThan">
      <formula>59</formula>
    </cfRule>
    <cfRule type="cellIs" dxfId="1382" priority="1014" operator="greaterThan">
      <formula>60</formula>
    </cfRule>
  </conditionalFormatting>
  <conditionalFormatting sqref="L194:M194">
    <cfRule type="cellIs" dxfId="1381" priority="1011" operator="lessThan">
      <formula>59</formula>
    </cfRule>
    <cfRule type="cellIs" dxfId="1380" priority="1012" operator="greaterThan">
      <formula>60</formula>
    </cfRule>
  </conditionalFormatting>
  <conditionalFormatting sqref="L194:M194">
    <cfRule type="cellIs" dxfId="1379" priority="1009" operator="lessThan">
      <formula>59</formula>
    </cfRule>
    <cfRule type="cellIs" dxfId="1378" priority="1010" operator="greaterThan">
      <formula>60</formula>
    </cfRule>
  </conditionalFormatting>
  <conditionalFormatting sqref="L196:M196">
    <cfRule type="cellIs" dxfId="1377" priority="1007" operator="lessThan">
      <formula>59</formula>
    </cfRule>
    <cfRule type="cellIs" dxfId="1376" priority="1008" operator="greaterThan">
      <formula>60</formula>
    </cfRule>
  </conditionalFormatting>
  <conditionalFormatting sqref="L194:M194">
    <cfRule type="cellIs" dxfId="1375" priority="1005" operator="lessThan">
      <formula>59</formula>
    </cfRule>
    <cfRule type="cellIs" dxfId="1374" priority="1006" operator="greaterThan">
      <formula>60</formula>
    </cfRule>
  </conditionalFormatting>
  <conditionalFormatting sqref="L194:M194">
    <cfRule type="cellIs" dxfId="1373" priority="1003" operator="lessThan">
      <formula>59</formula>
    </cfRule>
    <cfRule type="cellIs" dxfId="1372" priority="1004" operator="greaterThan">
      <formula>60</formula>
    </cfRule>
  </conditionalFormatting>
  <conditionalFormatting sqref="L194:M194">
    <cfRule type="cellIs" dxfId="1371" priority="1001" operator="lessThan">
      <formula>59</formula>
    </cfRule>
    <cfRule type="cellIs" dxfId="1370" priority="1002" operator="greaterThan">
      <formula>60</formula>
    </cfRule>
  </conditionalFormatting>
  <conditionalFormatting sqref="L194:M194">
    <cfRule type="cellIs" dxfId="1369" priority="999" operator="lessThan">
      <formula>59</formula>
    </cfRule>
    <cfRule type="cellIs" dxfId="1368" priority="1000" operator="greaterThan">
      <formula>60</formula>
    </cfRule>
  </conditionalFormatting>
  <conditionalFormatting sqref="L194:M194">
    <cfRule type="cellIs" dxfId="1367" priority="997" operator="lessThan">
      <formula>59</formula>
    </cfRule>
    <cfRule type="cellIs" dxfId="1366" priority="998" operator="greaterThan">
      <formula>60</formula>
    </cfRule>
  </conditionalFormatting>
  <conditionalFormatting sqref="L194:M194">
    <cfRule type="cellIs" dxfId="1365" priority="995" operator="lessThan">
      <formula>59</formula>
    </cfRule>
    <cfRule type="cellIs" dxfId="1364" priority="996" operator="greaterThan">
      <formula>60</formula>
    </cfRule>
  </conditionalFormatting>
  <conditionalFormatting sqref="L194:M194">
    <cfRule type="cellIs" dxfId="1363" priority="993" operator="lessThan">
      <formula>59</formula>
    </cfRule>
    <cfRule type="cellIs" dxfId="1362" priority="994" operator="greaterThan">
      <formula>60</formula>
    </cfRule>
  </conditionalFormatting>
  <conditionalFormatting sqref="L194:M194">
    <cfRule type="cellIs" dxfId="1361" priority="991" operator="lessThan">
      <formula>59</formula>
    </cfRule>
    <cfRule type="cellIs" dxfId="1360" priority="992" operator="greaterThan">
      <formula>60</formula>
    </cfRule>
  </conditionalFormatting>
  <conditionalFormatting sqref="L194:M194">
    <cfRule type="cellIs" dxfId="1359" priority="989" operator="lessThan">
      <formula>59</formula>
    </cfRule>
    <cfRule type="cellIs" dxfId="1358" priority="990" operator="greaterThan">
      <formula>60</formula>
    </cfRule>
  </conditionalFormatting>
  <conditionalFormatting sqref="L194:M194">
    <cfRule type="cellIs" dxfId="1357" priority="987" operator="lessThan">
      <formula>59</formula>
    </cfRule>
    <cfRule type="cellIs" dxfId="1356" priority="988" operator="greaterThan">
      <formula>60</formula>
    </cfRule>
  </conditionalFormatting>
  <conditionalFormatting sqref="L194:M194">
    <cfRule type="cellIs" dxfId="1355" priority="985" operator="lessThan">
      <formula>59</formula>
    </cfRule>
    <cfRule type="cellIs" dxfId="1354" priority="986" operator="greaterThan">
      <formula>60</formula>
    </cfRule>
  </conditionalFormatting>
  <conditionalFormatting sqref="L194:M194">
    <cfRule type="cellIs" dxfId="1353" priority="983" operator="lessThan">
      <formula>59</formula>
    </cfRule>
    <cfRule type="cellIs" dxfId="1352" priority="984" operator="greaterThan">
      <formula>60</formula>
    </cfRule>
  </conditionalFormatting>
  <conditionalFormatting sqref="L196:M196">
    <cfRule type="cellIs" dxfId="1351" priority="981" operator="lessThan">
      <formula>59</formula>
    </cfRule>
    <cfRule type="cellIs" dxfId="1350" priority="982" operator="greaterThan">
      <formula>60</formula>
    </cfRule>
  </conditionalFormatting>
  <conditionalFormatting sqref="L194:M194">
    <cfRule type="cellIs" dxfId="1349" priority="979" operator="lessThan">
      <formula>59</formula>
    </cfRule>
    <cfRule type="cellIs" dxfId="1348" priority="980" operator="greaterThan">
      <formula>60</formula>
    </cfRule>
  </conditionalFormatting>
  <conditionalFormatting sqref="L196:M196">
    <cfRule type="cellIs" dxfId="1347" priority="977" operator="lessThan">
      <formula>59</formula>
    </cfRule>
    <cfRule type="cellIs" dxfId="1346" priority="978" operator="greaterThan">
      <formula>60</formula>
    </cfRule>
  </conditionalFormatting>
  <conditionalFormatting sqref="L196:M196">
    <cfRule type="cellIs" dxfId="1345" priority="975" operator="lessThan">
      <formula>59</formula>
    </cfRule>
    <cfRule type="cellIs" dxfId="1344" priority="976" operator="greaterThan">
      <formula>60</formula>
    </cfRule>
  </conditionalFormatting>
  <conditionalFormatting sqref="L196:M196">
    <cfRule type="cellIs" dxfId="1343" priority="973" operator="lessThan">
      <formula>59</formula>
    </cfRule>
    <cfRule type="cellIs" dxfId="1342" priority="974" operator="greaterThan">
      <formula>60</formula>
    </cfRule>
  </conditionalFormatting>
  <conditionalFormatting sqref="L196:M196">
    <cfRule type="cellIs" dxfId="1341" priority="971" operator="lessThan">
      <formula>59</formula>
    </cfRule>
    <cfRule type="cellIs" dxfId="1340" priority="972" operator="greaterThan">
      <formula>60</formula>
    </cfRule>
  </conditionalFormatting>
  <conditionalFormatting sqref="L196:M196">
    <cfRule type="cellIs" dxfId="1339" priority="969" operator="lessThan">
      <formula>59</formula>
    </cfRule>
    <cfRule type="cellIs" dxfId="1338" priority="970" operator="greaterThan">
      <formula>60</formula>
    </cfRule>
  </conditionalFormatting>
  <conditionalFormatting sqref="L196:M196">
    <cfRule type="cellIs" dxfId="1337" priority="967" operator="lessThan">
      <formula>59</formula>
    </cfRule>
    <cfRule type="cellIs" dxfId="1336" priority="968" operator="greaterThan">
      <formula>60</formula>
    </cfRule>
  </conditionalFormatting>
  <conditionalFormatting sqref="L196:M196">
    <cfRule type="cellIs" dxfId="1335" priority="965" operator="lessThan">
      <formula>59</formula>
    </cfRule>
    <cfRule type="cellIs" dxfId="1334" priority="966" operator="greaterThan">
      <formula>60</formula>
    </cfRule>
  </conditionalFormatting>
  <conditionalFormatting sqref="L194:M194">
    <cfRule type="cellIs" dxfId="1333" priority="963" operator="lessThan">
      <formula>59</formula>
    </cfRule>
    <cfRule type="cellIs" dxfId="1332" priority="964" operator="greaterThan">
      <formula>60</formula>
    </cfRule>
  </conditionalFormatting>
  <conditionalFormatting sqref="L194:M194">
    <cfRule type="cellIs" dxfId="1331" priority="961" operator="lessThan">
      <formula>59</formula>
    </cfRule>
    <cfRule type="cellIs" dxfId="1330" priority="962" operator="greaterThan">
      <formula>60</formula>
    </cfRule>
  </conditionalFormatting>
  <conditionalFormatting sqref="L194:M194">
    <cfRule type="cellIs" dxfId="1329" priority="959" operator="lessThan">
      <formula>59</formula>
    </cfRule>
    <cfRule type="cellIs" dxfId="1328" priority="960" operator="greaterThan">
      <formula>60</formula>
    </cfRule>
  </conditionalFormatting>
  <conditionalFormatting sqref="L194:M194">
    <cfRule type="cellIs" dxfId="1327" priority="957" operator="lessThan">
      <formula>59</formula>
    </cfRule>
    <cfRule type="cellIs" dxfId="1326" priority="958" operator="greaterThan">
      <formula>60</formula>
    </cfRule>
  </conditionalFormatting>
  <conditionalFormatting sqref="L194:M194">
    <cfRule type="cellIs" dxfId="1325" priority="955" operator="lessThan">
      <formula>59</formula>
    </cfRule>
    <cfRule type="cellIs" dxfId="1324" priority="956" operator="greaterThan">
      <formula>60</formula>
    </cfRule>
  </conditionalFormatting>
  <conditionalFormatting sqref="L194:M194">
    <cfRule type="cellIs" dxfId="1323" priority="953" operator="lessThan">
      <formula>59</formula>
    </cfRule>
    <cfRule type="cellIs" dxfId="1322" priority="954" operator="greaterThan">
      <formula>60</formula>
    </cfRule>
  </conditionalFormatting>
  <conditionalFormatting sqref="L194:M194">
    <cfRule type="cellIs" dxfId="1321" priority="951" operator="lessThan">
      <formula>59</formula>
    </cfRule>
    <cfRule type="cellIs" dxfId="1320" priority="952" operator="greaterThan">
      <formula>60</formula>
    </cfRule>
  </conditionalFormatting>
  <conditionalFormatting sqref="L194:M194">
    <cfRule type="cellIs" dxfId="1319" priority="949" operator="lessThan">
      <formula>59</formula>
    </cfRule>
    <cfRule type="cellIs" dxfId="1318" priority="950" operator="greaterThan">
      <formula>60</formula>
    </cfRule>
  </conditionalFormatting>
  <conditionalFormatting sqref="L196:M196">
    <cfRule type="cellIs" dxfId="1317" priority="947" operator="lessThan">
      <formula>59</formula>
    </cfRule>
    <cfRule type="cellIs" dxfId="1316" priority="948" operator="greaterThan">
      <formula>60</formula>
    </cfRule>
  </conditionalFormatting>
  <conditionalFormatting sqref="L196:M196">
    <cfRule type="cellIs" dxfId="1315" priority="945" operator="lessThan">
      <formula>59</formula>
    </cfRule>
    <cfRule type="cellIs" dxfId="1314" priority="946" operator="greaterThan">
      <formula>60</formula>
    </cfRule>
  </conditionalFormatting>
  <conditionalFormatting sqref="L194:M194">
    <cfRule type="cellIs" dxfId="1313" priority="943" operator="lessThan">
      <formula>59</formula>
    </cfRule>
    <cfRule type="cellIs" dxfId="1312" priority="944" operator="greaterThan">
      <formula>60</formula>
    </cfRule>
  </conditionalFormatting>
  <conditionalFormatting sqref="L194:M194">
    <cfRule type="cellIs" dxfId="1311" priority="941" operator="lessThan">
      <formula>59</formula>
    </cfRule>
    <cfRule type="cellIs" dxfId="1310" priority="942" operator="greaterThan">
      <formula>60</formula>
    </cfRule>
  </conditionalFormatting>
  <conditionalFormatting sqref="L194:M194">
    <cfRule type="cellIs" dxfId="1309" priority="939" operator="lessThan">
      <formula>59</formula>
    </cfRule>
    <cfRule type="cellIs" dxfId="1308" priority="940" operator="greaterThan">
      <formula>60</formula>
    </cfRule>
  </conditionalFormatting>
  <conditionalFormatting sqref="L194:M194">
    <cfRule type="cellIs" dxfId="1307" priority="937" operator="lessThan">
      <formula>59</formula>
    </cfRule>
    <cfRule type="cellIs" dxfId="1306" priority="938" operator="greaterThan">
      <formula>60</formula>
    </cfRule>
  </conditionalFormatting>
  <conditionalFormatting sqref="L196:M196">
    <cfRule type="cellIs" dxfId="1305" priority="935" operator="lessThan">
      <formula>59</formula>
    </cfRule>
    <cfRule type="cellIs" dxfId="1304" priority="936" operator="greaterThan">
      <formula>60</formula>
    </cfRule>
  </conditionalFormatting>
  <conditionalFormatting sqref="L196:M196">
    <cfRule type="cellIs" dxfId="1303" priority="933" operator="lessThan">
      <formula>59</formula>
    </cfRule>
    <cfRule type="cellIs" dxfId="1302" priority="934" operator="greaterThan">
      <formula>60</formula>
    </cfRule>
  </conditionalFormatting>
  <conditionalFormatting sqref="L196:M196">
    <cfRule type="cellIs" dxfId="1301" priority="931" operator="lessThan">
      <formula>59</formula>
    </cfRule>
    <cfRule type="cellIs" dxfId="1300" priority="932" operator="greaterThan">
      <formula>60</formula>
    </cfRule>
  </conditionalFormatting>
  <conditionalFormatting sqref="L196:M196">
    <cfRule type="cellIs" dxfId="1299" priority="929" operator="lessThan">
      <formula>59</formula>
    </cfRule>
    <cfRule type="cellIs" dxfId="1298" priority="930" operator="greaterThan">
      <formula>60</formula>
    </cfRule>
  </conditionalFormatting>
  <conditionalFormatting sqref="L196:M196">
    <cfRule type="cellIs" dxfId="1297" priority="927" operator="lessThan">
      <formula>59</formula>
    </cfRule>
    <cfRule type="cellIs" dxfId="1296" priority="928" operator="greaterThan">
      <formula>60</formula>
    </cfRule>
  </conditionalFormatting>
  <conditionalFormatting sqref="L196:M196">
    <cfRule type="cellIs" dxfId="1295" priority="925" operator="lessThan">
      <formula>59</formula>
    </cfRule>
    <cfRule type="cellIs" dxfId="1294" priority="926" operator="greaterThan">
      <formula>60</formula>
    </cfRule>
  </conditionalFormatting>
  <conditionalFormatting sqref="L196:M196">
    <cfRule type="cellIs" dxfId="1293" priority="923" operator="lessThan">
      <formula>59</formula>
    </cfRule>
    <cfRule type="cellIs" dxfId="1292" priority="924" operator="greaterThan">
      <formula>60</formula>
    </cfRule>
  </conditionalFormatting>
  <conditionalFormatting sqref="L196:M196">
    <cfRule type="cellIs" dxfId="1291" priority="921" operator="lessThan">
      <formula>59</formula>
    </cfRule>
    <cfRule type="cellIs" dxfId="1290" priority="922" operator="greaterThan">
      <formula>60</formula>
    </cfRule>
  </conditionalFormatting>
  <conditionalFormatting sqref="L194:M194">
    <cfRule type="cellIs" dxfId="1289" priority="919" operator="lessThan">
      <formula>59</formula>
    </cfRule>
    <cfRule type="cellIs" dxfId="1288" priority="920" operator="greaterThan">
      <formula>60</formula>
    </cfRule>
  </conditionalFormatting>
  <conditionalFormatting sqref="L194:M194">
    <cfRule type="cellIs" dxfId="1287" priority="917" operator="lessThan">
      <formula>59</formula>
    </cfRule>
    <cfRule type="cellIs" dxfId="1286" priority="918" operator="greaterThan">
      <formula>60</formula>
    </cfRule>
  </conditionalFormatting>
  <conditionalFormatting sqref="L194:M194">
    <cfRule type="cellIs" dxfId="1285" priority="915" operator="lessThan">
      <formula>59</formula>
    </cfRule>
    <cfRule type="cellIs" dxfId="1284" priority="916" operator="greaterThan">
      <formula>60</formula>
    </cfRule>
  </conditionalFormatting>
  <conditionalFormatting sqref="L194:M194">
    <cfRule type="cellIs" dxfId="1283" priority="913" operator="lessThan">
      <formula>59</formula>
    </cfRule>
    <cfRule type="cellIs" dxfId="1282" priority="914" operator="greaterThan">
      <formula>60</formula>
    </cfRule>
  </conditionalFormatting>
  <conditionalFormatting sqref="L194:M194">
    <cfRule type="cellIs" dxfId="1281" priority="911" operator="lessThan">
      <formula>59</formula>
    </cfRule>
    <cfRule type="cellIs" dxfId="1280" priority="912" operator="greaterThan">
      <formula>60</formula>
    </cfRule>
  </conditionalFormatting>
  <conditionalFormatting sqref="L194:M194">
    <cfRule type="cellIs" dxfId="1279" priority="909" operator="lessThan">
      <formula>59</formula>
    </cfRule>
    <cfRule type="cellIs" dxfId="1278" priority="910" operator="greaterThan">
      <formula>60</formula>
    </cfRule>
  </conditionalFormatting>
  <conditionalFormatting sqref="L194:M194">
    <cfRule type="cellIs" dxfId="1277" priority="907" operator="lessThan">
      <formula>59</formula>
    </cfRule>
    <cfRule type="cellIs" dxfId="1276" priority="908" operator="greaterThan">
      <formula>60</formula>
    </cfRule>
  </conditionalFormatting>
  <conditionalFormatting sqref="L194:M194">
    <cfRule type="cellIs" dxfId="1275" priority="905" operator="lessThan">
      <formula>59</formula>
    </cfRule>
    <cfRule type="cellIs" dxfId="1274" priority="906" operator="greaterThan">
      <formula>60</formula>
    </cfRule>
  </conditionalFormatting>
  <conditionalFormatting sqref="L194:M194">
    <cfRule type="cellIs" dxfId="1273" priority="903" operator="lessThan">
      <formula>59</formula>
    </cfRule>
    <cfRule type="cellIs" dxfId="1272" priority="904" operator="greaterThan">
      <formula>60</formula>
    </cfRule>
  </conditionalFormatting>
  <conditionalFormatting sqref="L196:M196">
    <cfRule type="cellIs" dxfId="1271" priority="901" operator="lessThan">
      <formula>59</formula>
    </cfRule>
    <cfRule type="cellIs" dxfId="1270" priority="902" operator="greaterThan">
      <formula>60</formula>
    </cfRule>
  </conditionalFormatting>
  <conditionalFormatting sqref="L196:M196">
    <cfRule type="cellIs" dxfId="1269" priority="899" operator="lessThan">
      <formula>59</formula>
    </cfRule>
    <cfRule type="cellIs" dxfId="1268" priority="900" operator="greaterThan">
      <formula>60</formula>
    </cfRule>
  </conditionalFormatting>
  <conditionalFormatting sqref="L194:M194">
    <cfRule type="cellIs" dxfId="1267" priority="897" operator="lessThan">
      <formula>59</formula>
    </cfRule>
    <cfRule type="cellIs" dxfId="1266" priority="898" operator="greaterThan">
      <formula>60</formula>
    </cfRule>
  </conditionalFormatting>
  <conditionalFormatting sqref="L196:M196">
    <cfRule type="cellIs" dxfId="1265" priority="895" operator="lessThan">
      <formula>59</formula>
    </cfRule>
    <cfRule type="cellIs" dxfId="1264" priority="896" operator="greaterThan">
      <formula>60</formula>
    </cfRule>
  </conditionalFormatting>
  <conditionalFormatting sqref="L196:M196">
    <cfRule type="cellIs" dxfId="1263" priority="893" operator="lessThan">
      <formula>59</formula>
    </cfRule>
    <cfRule type="cellIs" dxfId="1262" priority="894" operator="greaterThan">
      <formula>60</formula>
    </cfRule>
  </conditionalFormatting>
  <conditionalFormatting sqref="L196:M196">
    <cfRule type="cellIs" dxfId="1261" priority="891" operator="lessThan">
      <formula>59</formula>
    </cfRule>
    <cfRule type="cellIs" dxfId="1260" priority="892" operator="greaterThan">
      <formula>60</formula>
    </cfRule>
  </conditionalFormatting>
  <conditionalFormatting sqref="L194:M194">
    <cfRule type="cellIs" dxfId="1259" priority="889" operator="lessThan">
      <formula>59</formula>
    </cfRule>
    <cfRule type="cellIs" dxfId="1258" priority="890" operator="greaterThan">
      <formula>60</formula>
    </cfRule>
  </conditionalFormatting>
  <conditionalFormatting sqref="L194:M194">
    <cfRule type="cellIs" dxfId="1257" priority="887" operator="lessThan">
      <formula>59</formula>
    </cfRule>
    <cfRule type="cellIs" dxfId="1256" priority="888" operator="greaterThan">
      <formula>60</formula>
    </cfRule>
  </conditionalFormatting>
  <conditionalFormatting sqref="L194:M194">
    <cfRule type="cellIs" dxfId="1255" priority="885" operator="lessThan">
      <formula>59</formula>
    </cfRule>
    <cfRule type="cellIs" dxfId="1254" priority="886" operator="greaterThan">
      <formula>60</formula>
    </cfRule>
  </conditionalFormatting>
  <conditionalFormatting sqref="L194:M194">
    <cfRule type="cellIs" dxfId="1253" priority="883" operator="lessThan">
      <formula>59</formula>
    </cfRule>
    <cfRule type="cellIs" dxfId="1252" priority="884" operator="greaterThan">
      <formula>60</formula>
    </cfRule>
  </conditionalFormatting>
  <conditionalFormatting sqref="L194:M194">
    <cfRule type="cellIs" dxfId="1251" priority="881" operator="lessThan">
      <formula>59</formula>
    </cfRule>
    <cfRule type="cellIs" dxfId="1250" priority="882" operator="greaterThan">
      <formula>60</formula>
    </cfRule>
  </conditionalFormatting>
  <conditionalFormatting sqref="L194:M194">
    <cfRule type="cellIs" dxfId="1249" priority="879" operator="lessThan">
      <formula>59</formula>
    </cfRule>
    <cfRule type="cellIs" dxfId="1248" priority="880" operator="greaterThan">
      <formula>60</formula>
    </cfRule>
  </conditionalFormatting>
  <conditionalFormatting sqref="L194:M194">
    <cfRule type="cellIs" dxfId="1247" priority="877" operator="lessThan">
      <formula>59</formula>
    </cfRule>
    <cfRule type="cellIs" dxfId="1246" priority="878" operator="greaterThan">
      <formula>60</formula>
    </cfRule>
  </conditionalFormatting>
  <conditionalFormatting sqref="L194:M194">
    <cfRule type="cellIs" dxfId="1245" priority="875" operator="lessThan">
      <formula>59</formula>
    </cfRule>
    <cfRule type="cellIs" dxfId="1244" priority="876" operator="greaterThan">
      <formula>60</formula>
    </cfRule>
  </conditionalFormatting>
  <conditionalFormatting sqref="L194:M194">
    <cfRule type="cellIs" dxfId="1243" priority="873" operator="lessThan">
      <formula>59</formula>
    </cfRule>
    <cfRule type="cellIs" dxfId="1242" priority="874" operator="greaterThan">
      <formula>60</formula>
    </cfRule>
  </conditionalFormatting>
  <conditionalFormatting sqref="L194:M194">
    <cfRule type="cellIs" dxfId="1241" priority="871" operator="lessThan">
      <formula>59</formula>
    </cfRule>
    <cfRule type="cellIs" dxfId="1240" priority="872" operator="greaterThan">
      <formula>60</formula>
    </cfRule>
  </conditionalFormatting>
  <conditionalFormatting sqref="L196:M196">
    <cfRule type="cellIs" dxfId="1239" priority="869" operator="lessThan">
      <formula>59</formula>
    </cfRule>
    <cfRule type="cellIs" dxfId="1238" priority="870" operator="greaterThan">
      <formula>60</formula>
    </cfRule>
  </conditionalFormatting>
  <conditionalFormatting sqref="L196:M196">
    <cfRule type="cellIs" dxfId="1237" priority="867" operator="lessThan">
      <formula>59</formula>
    </cfRule>
    <cfRule type="cellIs" dxfId="1236" priority="868" operator="greaterThan">
      <formula>60</formula>
    </cfRule>
  </conditionalFormatting>
  <conditionalFormatting sqref="L194:M194">
    <cfRule type="cellIs" dxfId="1235" priority="865" operator="lessThan">
      <formula>59</formula>
    </cfRule>
    <cfRule type="cellIs" dxfId="1234" priority="866" operator="greaterThan">
      <formula>60</formula>
    </cfRule>
  </conditionalFormatting>
  <conditionalFormatting sqref="L194:M194">
    <cfRule type="cellIs" dxfId="1233" priority="863" operator="lessThan">
      <formula>59</formula>
    </cfRule>
    <cfRule type="cellIs" dxfId="1232" priority="864" operator="greaterThan">
      <formula>60</formula>
    </cfRule>
  </conditionalFormatting>
  <conditionalFormatting sqref="L194:M194">
    <cfRule type="cellIs" dxfId="1231" priority="861" operator="lessThan">
      <formula>59</formula>
    </cfRule>
    <cfRule type="cellIs" dxfId="1230" priority="862" operator="greaterThan">
      <formula>60</formula>
    </cfRule>
  </conditionalFormatting>
  <conditionalFormatting sqref="L194:M194">
    <cfRule type="cellIs" dxfId="1229" priority="859" operator="lessThan">
      <formula>59</formula>
    </cfRule>
    <cfRule type="cellIs" dxfId="1228" priority="860" operator="greaterThan">
      <formula>60</formula>
    </cfRule>
  </conditionalFormatting>
  <conditionalFormatting sqref="L196:M196">
    <cfRule type="cellIs" dxfId="1227" priority="857" operator="lessThan">
      <formula>59</formula>
    </cfRule>
    <cfRule type="cellIs" dxfId="1226" priority="858" operator="greaterThan">
      <formula>60</formula>
    </cfRule>
  </conditionalFormatting>
  <conditionalFormatting sqref="L196:M196">
    <cfRule type="cellIs" dxfId="1225" priority="855" operator="lessThan">
      <formula>59</formula>
    </cfRule>
    <cfRule type="cellIs" dxfId="1224" priority="856" operator="greaterThan">
      <formula>60</formula>
    </cfRule>
  </conditionalFormatting>
  <conditionalFormatting sqref="L196:M196">
    <cfRule type="cellIs" dxfId="1223" priority="853" operator="lessThan">
      <formula>59</formula>
    </cfRule>
    <cfRule type="cellIs" dxfId="1222" priority="854" operator="greaterThan">
      <formula>60</formula>
    </cfRule>
  </conditionalFormatting>
  <conditionalFormatting sqref="L196:M196">
    <cfRule type="cellIs" dxfId="1221" priority="851" operator="lessThan">
      <formula>59</formula>
    </cfRule>
    <cfRule type="cellIs" dxfId="1220" priority="852" operator="greaterThan">
      <formula>60</formula>
    </cfRule>
  </conditionalFormatting>
  <conditionalFormatting sqref="L196:M196">
    <cfRule type="cellIs" dxfId="1219" priority="849" operator="lessThan">
      <formula>59</formula>
    </cfRule>
    <cfRule type="cellIs" dxfId="1218" priority="850" operator="greaterThan">
      <formula>60</formula>
    </cfRule>
  </conditionalFormatting>
  <conditionalFormatting sqref="L196:M196">
    <cfRule type="cellIs" dxfId="1217" priority="847" operator="lessThan">
      <formula>59</formula>
    </cfRule>
    <cfRule type="cellIs" dxfId="1216" priority="848" operator="greaterThan">
      <formula>60</formula>
    </cfRule>
  </conditionalFormatting>
  <conditionalFormatting sqref="L196:M196">
    <cfRule type="cellIs" dxfId="1215" priority="845" operator="lessThan">
      <formula>59</formula>
    </cfRule>
    <cfRule type="cellIs" dxfId="1214" priority="846" operator="greaterThan">
      <formula>60</formula>
    </cfRule>
  </conditionalFormatting>
  <conditionalFormatting sqref="L196:M196">
    <cfRule type="cellIs" dxfId="1213" priority="843" operator="lessThan">
      <formula>59</formula>
    </cfRule>
    <cfRule type="cellIs" dxfId="1212" priority="844" operator="greaterThan">
      <formula>60</formula>
    </cfRule>
  </conditionalFormatting>
  <conditionalFormatting sqref="L194:M194">
    <cfRule type="cellIs" dxfId="1211" priority="841" operator="lessThan">
      <formula>59</formula>
    </cfRule>
    <cfRule type="cellIs" dxfId="1210" priority="842" operator="greaterThan">
      <formula>60</formula>
    </cfRule>
  </conditionalFormatting>
  <conditionalFormatting sqref="L194:M194">
    <cfRule type="cellIs" dxfId="1209" priority="839" operator="lessThan">
      <formula>59</formula>
    </cfRule>
    <cfRule type="cellIs" dxfId="1208" priority="840" operator="greaterThan">
      <formula>60</formula>
    </cfRule>
  </conditionalFormatting>
  <conditionalFormatting sqref="L194:M194">
    <cfRule type="cellIs" dxfId="1207" priority="837" operator="lessThan">
      <formula>59</formula>
    </cfRule>
    <cfRule type="cellIs" dxfId="1206" priority="838" operator="greaterThan">
      <formula>60</formula>
    </cfRule>
  </conditionalFormatting>
  <conditionalFormatting sqref="L194:M194">
    <cfRule type="cellIs" dxfId="1205" priority="835" operator="lessThan">
      <formula>59</formula>
    </cfRule>
    <cfRule type="cellIs" dxfId="1204" priority="836" operator="greaterThan">
      <formula>60</formula>
    </cfRule>
  </conditionalFormatting>
  <conditionalFormatting sqref="L194:M194">
    <cfRule type="cellIs" dxfId="1203" priority="833" operator="lessThan">
      <formula>59</formula>
    </cfRule>
    <cfRule type="cellIs" dxfId="1202" priority="834" operator="greaterThan">
      <formula>60</formula>
    </cfRule>
  </conditionalFormatting>
  <conditionalFormatting sqref="L194:M194">
    <cfRule type="cellIs" dxfId="1201" priority="831" operator="lessThan">
      <formula>59</formula>
    </cfRule>
    <cfRule type="cellIs" dxfId="1200" priority="832" operator="greaterThan">
      <formula>60</formula>
    </cfRule>
  </conditionalFormatting>
  <conditionalFormatting sqref="L194:M194">
    <cfRule type="cellIs" dxfId="1199" priority="829" operator="lessThan">
      <formula>59</formula>
    </cfRule>
    <cfRule type="cellIs" dxfId="1198" priority="830" operator="greaterThan">
      <formula>60</formula>
    </cfRule>
  </conditionalFormatting>
  <conditionalFormatting sqref="L194:M194">
    <cfRule type="cellIs" dxfId="1197" priority="827" operator="lessThan">
      <formula>59</formula>
    </cfRule>
    <cfRule type="cellIs" dxfId="1196" priority="828" operator="greaterThan">
      <formula>60</formula>
    </cfRule>
  </conditionalFormatting>
  <conditionalFormatting sqref="L194:M194">
    <cfRule type="cellIs" dxfId="1195" priority="826" operator="greaterThan">
      <formula>60</formula>
    </cfRule>
  </conditionalFormatting>
  <conditionalFormatting sqref="L194:M194">
    <cfRule type="cellIs" dxfId="1194" priority="823" stopIfTrue="1" operator="between">
      <formula>150</formula>
      <formula>170</formula>
    </cfRule>
    <cfRule type="cellIs" dxfId="1193" priority="824" stopIfTrue="1" operator="lessThan">
      <formula>150</formula>
    </cfRule>
    <cfRule type="cellIs" dxfId="1192" priority="825" stopIfTrue="1" operator="greaterThan">
      <formula>170</formula>
    </cfRule>
  </conditionalFormatting>
  <conditionalFormatting sqref="L194:M194">
    <cfRule type="cellIs" dxfId="1191" priority="821" operator="lessThan">
      <formula>59</formula>
    </cfRule>
    <cfRule type="cellIs" dxfId="1190" priority="822" operator="greaterThan">
      <formula>60</formula>
    </cfRule>
  </conditionalFormatting>
  <conditionalFormatting sqref="L194:M194">
    <cfRule type="cellIs" dxfId="1189" priority="820" operator="greaterThan">
      <formula>60</formula>
    </cfRule>
  </conditionalFormatting>
  <conditionalFormatting sqref="L194:M194">
    <cfRule type="cellIs" dxfId="1188" priority="817" stopIfTrue="1" operator="between">
      <formula>150</formula>
      <formula>170</formula>
    </cfRule>
    <cfRule type="cellIs" dxfId="1187" priority="818" stopIfTrue="1" operator="lessThan">
      <formula>150</formula>
    </cfRule>
    <cfRule type="cellIs" dxfId="1186" priority="819" stopIfTrue="1" operator="greaterThan">
      <formula>170</formula>
    </cfRule>
  </conditionalFormatting>
  <conditionalFormatting sqref="L194:M194">
    <cfRule type="cellIs" dxfId="1185" priority="815" operator="lessThan">
      <formula>59</formula>
    </cfRule>
    <cfRule type="cellIs" dxfId="1184" priority="816" operator="greaterThan">
      <formula>60</formula>
    </cfRule>
  </conditionalFormatting>
  <conditionalFormatting sqref="L194:M194">
    <cfRule type="cellIs" dxfId="1183" priority="814" operator="greaterThan">
      <formula>60</formula>
    </cfRule>
  </conditionalFormatting>
  <conditionalFormatting sqref="L194:M194">
    <cfRule type="cellIs" dxfId="1182" priority="811" stopIfTrue="1" operator="between">
      <formula>150</formula>
      <formula>170</formula>
    </cfRule>
    <cfRule type="cellIs" dxfId="1181" priority="812" stopIfTrue="1" operator="lessThan">
      <formula>150</formula>
    </cfRule>
    <cfRule type="cellIs" dxfId="1180" priority="813" stopIfTrue="1" operator="greaterThan">
      <formula>170</formula>
    </cfRule>
  </conditionalFormatting>
  <conditionalFormatting sqref="L194:M194">
    <cfRule type="cellIs" dxfId="1179" priority="809" operator="lessThan">
      <formula>59</formula>
    </cfRule>
    <cfRule type="cellIs" dxfId="1178" priority="810" operator="greaterThan">
      <formula>60</formula>
    </cfRule>
  </conditionalFormatting>
  <conditionalFormatting sqref="L194:M194">
    <cfRule type="cellIs" dxfId="1177" priority="808" operator="greaterThan">
      <formula>60</formula>
    </cfRule>
  </conditionalFormatting>
  <conditionalFormatting sqref="L194:M194">
    <cfRule type="cellIs" dxfId="1176" priority="806" operator="lessThan">
      <formula>59</formula>
    </cfRule>
    <cfRule type="cellIs" dxfId="1175" priority="807" operator="greaterThan">
      <formula>60</formula>
    </cfRule>
  </conditionalFormatting>
  <conditionalFormatting sqref="L194:M194">
    <cfRule type="cellIs" dxfId="1174" priority="805" operator="greaterThan">
      <formula>60</formula>
    </cfRule>
  </conditionalFormatting>
  <conditionalFormatting sqref="L194:M194">
    <cfRule type="cellIs" dxfId="1173" priority="803" operator="lessThan">
      <formula>59</formula>
    </cfRule>
    <cfRule type="cellIs" dxfId="1172" priority="804" operator="greaterThan">
      <formula>60</formula>
    </cfRule>
  </conditionalFormatting>
  <conditionalFormatting sqref="L194:M194">
    <cfRule type="cellIs" dxfId="1171" priority="802" operator="greaterThan">
      <formula>60</formula>
    </cfRule>
  </conditionalFormatting>
  <conditionalFormatting sqref="L194:M194">
    <cfRule type="cellIs" dxfId="1170" priority="799" stopIfTrue="1" operator="between">
      <formula>150</formula>
      <formula>170</formula>
    </cfRule>
    <cfRule type="cellIs" dxfId="1169" priority="800" stopIfTrue="1" operator="lessThan">
      <formula>150</formula>
    </cfRule>
    <cfRule type="cellIs" dxfId="1168" priority="801" stopIfTrue="1" operator="greaterThan">
      <formula>170</formula>
    </cfRule>
  </conditionalFormatting>
  <conditionalFormatting sqref="L194:M194">
    <cfRule type="cellIs" dxfId="1167" priority="797" operator="lessThan">
      <formula>59</formula>
    </cfRule>
    <cfRule type="cellIs" dxfId="1166" priority="798" operator="greaterThan">
      <formula>60</formula>
    </cfRule>
  </conditionalFormatting>
  <conditionalFormatting sqref="L194:M194">
    <cfRule type="cellIs" dxfId="1165" priority="796" operator="greaterThan">
      <formula>60</formula>
    </cfRule>
  </conditionalFormatting>
  <conditionalFormatting sqref="L194:M194">
    <cfRule type="cellIs" dxfId="1164" priority="794" operator="lessThan">
      <formula>59</formula>
    </cfRule>
    <cfRule type="cellIs" dxfId="1163" priority="795" operator="greaterThan">
      <formula>60</formula>
    </cfRule>
  </conditionalFormatting>
  <conditionalFormatting sqref="L194:M194">
    <cfRule type="cellIs" dxfId="1162" priority="793" operator="greaterThan">
      <formula>60</formula>
    </cfRule>
  </conditionalFormatting>
  <conditionalFormatting sqref="L194:M194">
    <cfRule type="cellIs" dxfId="1161" priority="790" stopIfTrue="1" operator="between">
      <formula>150</formula>
      <formula>170</formula>
    </cfRule>
    <cfRule type="cellIs" dxfId="1160" priority="791" stopIfTrue="1" operator="lessThan">
      <formula>150</formula>
    </cfRule>
    <cfRule type="cellIs" dxfId="1159" priority="792" stopIfTrue="1" operator="greaterThan">
      <formula>170</formula>
    </cfRule>
  </conditionalFormatting>
  <conditionalFormatting sqref="L194:M194">
    <cfRule type="cellIs" dxfId="1158" priority="788" operator="lessThan">
      <formula>59</formula>
    </cfRule>
    <cfRule type="cellIs" dxfId="1157" priority="789" operator="greaterThan">
      <formula>60</formula>
    </cfRule>
  </conditionalFormatting>
  <conditionalFormatting sqref="L194:M194">
    <cfRule type="cellIs" dxfId="1156" priority="787" operator="greaterThan">
      <formula>60</formula>
    </cfRule>
  </conditionalFormatting>
  <conditionalFormatting sqref="L194:M194">
    <cfRule type="cellIs" dxfId="1155" priority="785" operator="lessThan">
      <formula>59</formula>
    </cfRule>
    <cfRule type="cellIs" dxfId="1154" priority="786" operator="greaterThan">
      <formula>60</formula>
    </cfRule>
  </conditionalFormatting>
  <conditionalFormatting sqref="L194:M194">
    <cfRule type="cellIs" dxfId="1153" priority="784" operator="greaterThan">
      <formula>60</formula>
    </cfRule>
  </conditionalFormatting>
  <conditionalFormatting sqref="L194:M194">
    <cfRule type="cellIs" dxfId="1152" priority="781" stopIfTrue="1" operator="between">
      <formula>150</formula>
      <formula>170</formula>
    </cfRule>
    <cfRule type="cellIs" dxfId="1151" priority="782" stopIfTrue="1" operator="lessThan">
      <formula>150</formula>
    </cfRule>
    <cfRule type="cellIs" dxfId="1150" priority="783" stopIfTrue="1" operator="greaterThan">
      <formula>170</formula>
    </cfRule>
  </conditionalFormatting>
  <conditionalFormatting sqref="L194:M194">
    <cfRule type="cellIs" dxfId="1149" priority="779" operator="lessThan">
      <formula>59</formula>
    </cfRule>
    <cfRule type="cellIs" dxfId="1148" priority="780" operator="greaterThan">
      <formula>60</formula>
    </cfRule>
  </conditionalFormatting>
  <conditionalFormatting sqref="L194:M194">
    <cfRule type="cellIs" dxfId="1147" priority="778" operator="greaterThan">
      <formula>60</formula>
    </cfRule>
  </conditionalFormatting>
  <conditionalFormatting sqref="L194:M194">
    <cfRule type="cellIs" dxfId="1146" priority="776" operator="lessThan">
      <formula>59</formula>
    </cfRule>
    <cfRule type="cellIs" dxfId="1145" priority="777" operator="greaterThan">
      <formula>60</formula>
    </cfRule>
  </conditionalFormatting>
  <conditionalFormatting sqref="L194:M194">
    <cfRule type="cellIs" dxfId="1144" priority="775" operator="greaterThan">
      <formula>60</formula>
    </cfRule>
  </conditionalFormatting>
  <conditionalFormatting sqref="L194:M194">
    <cfRule type="cellIs" dxfId="1143" priority="772" stopIfTrue="1" operator="between">
      <formula>150</formula>
      <formula>170</formula>
    </cfRule>
    <cfRule type="cellIs" dxfId="1142" priority="773" stopIfTrue="1" operator="lessThan">
      <formula>150</formula>
    </cfRule>
    <cfRule type="cellIs" dxfId="1141" priority="774" stopIfTrue="1" operator="greaterThan">
      <formula>170</formula>
    </cfRule>
  </conditionalFormatting>
  <conditionalFormatting sqref="L194:M194">
    <cfRule type="cellIs" dxfId="1140" priority="770" operator="lessThan">
      <formula>59</formula>
    </cfRule>
    <cfRule type="cellIs" dxfId="1139" priority="771" operator="greaterThan">
      <formula>60</formula>
    </cfRule>
  </conditionalFormatting>
  <conditionalFormatting sqref="L194:M194">
    <cfRule type="cellIs" dxfId="1138" priority="769" operator="greaterThan">
      <formula>60</formula>
    </cfRule>
  </conditionalFormatting>
  <conditionalFormatting sqref="L194:M194">
    <cfRule type="cellIs" dxfId="1137" priority="767" operator="lessThan">
      <formula>59</formula>
    </cfRule>
    <cfRule type="cellIs" dxfId="1136" priority="768" operator="greaterThan">
      <formula>60</formula>
    </cfRule>
  </conditionalFormatting>
  <conditionalFormatting sqref="L194:M194">
    <cfRule type="cellIs" dxfId="1135" priority="766" operator="greaterThan">
      <formula>60</formula>
    </cfRule>
  </conditionalFormatting>
  <conditionalFormatting sqref="L194:M194">
    <cfRule type="cellIs" dxfId="1134" priority="763" stopIfTrue="1" operator="between">
      <formula>150</formula>
      <formula>170</formula>
    </cfRule>
    <cfRule type="cellIs" dxfId="1133" priority="764" stopIfTrue="1" operator="lessThan">
      <formula>150</formula>
    </cfRule>
    <cfRule type="cellIs" dxfId="1132" priority="765" stopIfTrue="1" operator="greaterThan">
      <formula>170</formula>
    </cfRule>
  </conditionalFormatting>
  <conditionalFormatting sqref="L194:M194">
    <cfRule type="cellIs" dxfId="1131" priority="761" operator="lessThan">
      <formula>59</formula>
    </cfRule>
    <cfRule type="cellIs" dxfId="1130" priority="762" operator="greaterThan">
      <formula>60</formula>
    </cfRule>
  </conditionalFormatting>
  <conditionalFormatting sqref="L92">
    <cfRule type="cellIs" dxfId="1129" priority="760" operator="greaterThan">
      <formula>60</formula>
    </cfRule>
  </conditionalFormatting>
  <conditionalFormatting sqref="L92">
    <cfRule type="cellIs" dxfId="1128" priority="757" stopIfTrue="1" operator="between">
      <formula>150</formula>
      <formula>170</formula>
    </cfRule>
    <cfRule type="cellIs" dxfId="1127" priority="758" stopIfTrue="1" operator="lessThan">
      <formula>150</formula>
    </cfRule>
    <cfRule type="cellIs" dxfId="1126" priority="759" stopIfTrue="1" operator="greaterThan">
      <formula>170</formula>
    </cfRule>
  </conditionalFormatting>
  <conditionalFormatting sqref="L92:M92">
    <cfRule type="cellIs" dxfId="1125" priority="755" operator="lessThan">
      <formula>59</formula>
    </cfRule>
    <cfRule type="cellIs" dxfId="1124" priority="756" operator="greaterThan">
      <formula>60</formula>
    </cfRule>
  </conditionalFormatting>
  <conditionalFormatting sqref="L92:M92">
    <cfRule type="cellIs" dxfId="1123" priority="754" operator="greaterThan">
      <formula>60</formula>
    </cfRule>
  </conditionalFormatting>
  <conditionalFormatting sqref="L92:M92">
    <cfRule type="cellIs" dxfId="1122" priority="751" stopIfTrue="1" operator="between">
      <formula>150</formula>
      <formula>170</formula>
    </cfRule>
    <cfRule type="cellIs" dxfId="1121" priority="752" stopIfTrue="1" operator="lessThan">
      <formula>150</formula>
    </cfRule>
    <cfRule type="cellIs" dxfId="1120" priority="753" stopIfTrue="1" operator="greaterThan">
      <formula>170</formula>
    </cfRule>
  </conditionalFormatting>
  <conditionalFormatting sqref="L68">
    <cfRule type="cellIs" dxfId="1119" priority="750" operator="greaterThan">
      <formula>60</formula>
    </cfRule>
  </conditionalFormatting>
  <conditionalFormatting sqref="L68">
    <cfRule type="cellIs" dxfId="1118" priority="747" stopIfTrue="1" operator="between">
      <formula>150</formula>
      <formula>170</formula>
    </cfRule>
    <cfRule type="cellIs" dxfId="1117" priority="748" stopIfTrue="1" operator="lessThan">
      <formula>150</formula>
    </cfRule>
    <cfRule type="cellIs" dxfId="1116" priority="749" stopIfTrue="1" operator="greaterThan">
      <formula>170</formula>
    </cfRule>
  </conditionalFormatting>
  <conditionalFormatting sqref="L68:M68">
    <cfRule type="cellIs" dxfId="1115" priority="745" operator="lessThan">
      <formula>59</formula>
    </cfRule>
    <cfRule type="cellIs" dxfId="1114" priority="746" operator="greaterThan">
      <formula>60</formula>
    </cfRule>
  </conditionalFormatting>
  <conditionalFormatting sqref="L68:M68">
    <cfRule type="cellIs" dxfId="1113" priority="744" operator="greaterThan">
      <formula>60</formula>
    </cfRule>
  </conditionalFormatting>
  <conditionalFormatting sqref="L68:M68">
    <cfRule type="cellIs" dxfId="1112" priority="741" stopIfTrue="1" operator="between">
      <formula>150</formula>
      <formula>170</formula>
    </cfRule>
    <cfRule type="cellIs" dxfId="1111" priority="742" stopIfTrue="1" operator="lessThan">
      <formula>150</formula>
    </cfRule>
    <cfRule type="cellIs" dxfId="1110" priority="743" stopIfTrue="1" operator="greaterThan">
      <formula>170</formula>
    </cfRule>
  </conditionalFormatting>
  <conditionalFormatting sqref="L16">
    <cfRule type="cellIs" dxfId="1109" priority="740" operator="greaterThan">
      <formula>60</formula>
    </cfRule>
  </conditionalFormatting>
  <conditionalFormatting sqref="L16">
    <cfRule type="cellIs" dxfId="1108" priority="737" stopIfTrue="1" operator="between">
      <formula>150</formula>
      <formula>170</formula>
    </cfRule>
    <cfRule type="cellIs" dxfId="1107" priority="738" stopIfTrue="1" operator="lessThan">
      <formula>150</formula>
    </cfRule>
    <cfRule type="cellIs" dxfId="1106" priority="739" stopIfTrue="1" operator="greaterThan">
      <formula>170</formula>
    </cfRule>
  </conditionalFormatting>
  <conditionalFormatting sqref="L16:M16">
    <cfRule type="cellIs" dxfId="1105" priority="735" operator="lessThan">
      <formula>59</formula>
    </cfRule>
    <cfRule type="cellIs" dxfId="1104" priority="736" operator="greaterThan">
      <formula>60</formula>
    </cfRule>
  </conditionalFormatting>
  <conditionalFormatting sqref="L16:M16">
    <cfRule type="cellIs" dxfId="1103" priority="734" operator="greaterThan">
      <formula>60</formula>
    </cfRule>
  </conditionalFormatting>
  <conditionalFormatting sqref="L16:M16">
    <cfRule type="cellIs" dxfId="1102" priority="731" stopIfTrue="1" operator="between">
      <formula>150</formula>
      <formula>170</formula>
    </cfRule>
    <cfRule type="cellIs" dxfId="1101" priority="732" stopIfTrue="1" operator="lessThan">
      <formula>150</formula>
    </cfRule>
    <cfRule type="cellIs" dxfId="1100" priority="733" stopIfTrue="1" operator="greaterThan">
      <formula>170</formula>
    </cfRule>
  </conditionalFormatting>
  <conditionalFormatting sqref="L45">
    <cfRule type="cellIs" dxfId="1099" priority="730" operator="greaterThan">
      <formula>60</formula>
    </cfRule>
  </conditionalFormatting>
  <conditionalFormatting sqref="L45">
    <cfRule type="cellIs" dxfId="1098" priority="727" stopIfTrue="1" operator="between">
      <formula>150</formula>
      <formula>170</formula>
    </cfRule>
    <cfRule type="cellIs" dxfId="1097" priority="728" stopIfTrue="1" operator="lessThan">
      <formula>150</formula>
    </cfRule>
    <cfRule type="cellIs" dxfId="1096" priority="729" stopIfTrue="1" operator="greaterThan">
      <formula>170</formula>
    </cfRule>
  </conditionalFormatting>
  <conditionalFormatting sqref="L45:M45">
    <cfRule type="cellIs" dxfId="1095" priority="725" operator="lessThan">
      <formula>59</formula>
    </cfRule>
    <cfRule type="cellIs" dxfId="1094" priority="726" operator="greaterThan">
      <formula>60</formula>
    </cfRule>
  </conditionalFormatting>
  <conditionalFormatting sqref="L45:M45">
    <cfRule type="cellIs" dxfId="1093" priority="724" operator="greaterThan">
      <formula>60</formula>
    </cfRule>
  </conditionalFormatting>
  <conditionalFormatting sqref="L45:M45">
    <cfRule type="cellIs" dxfId="1092" priority="721" stopIfTrue="1" operator="between">
      <formula>150</formula>
      <formula>170</formula>
    </cfRule>
    <cfRule type="cellIs" dxfId="1091" priority="722" stopIfTrue="1" operator="lessThan">
      <formula>150</formula>
    </cfRule>
    <cfRule type="cellIs" dxfId="1090" priority="723" stopIfTrue="1" operator="greaterThan">
      <formula>170</formula>
    </cfRule>
  </conditionalFormatting>
  <conditionalFormatting sqref="L149:M151 L161:M161 L153:M155 L157:M159 L141:M143 L132:M133 L135:M136 L138:M139 L129:M130 L101:M102 L104:M105 L115:M116 L126:M127 L93:M94 L87:M88 L69:M70 L72:M73 L75:M76 L78:M81 L83:M85 L118:M120 L96:M99 L107:M109 L111:M113 L145:M147 L122:M124 L90:M91 L54:M55 L57:M59 L61:M63 L47:M49 L51:M52 L6:M6 L9:M9 L12:M13 L18:M21 L23:M26 L28:M30 L32:M34 L36:M37 L39:M42 L65:M67 L15:M16 L44:M45">
    <cfRule type="cellIs" dxfId="1089" priority="719" operator="lessThan">
      <formula>59</formula>
    </cfRule>
    <cfRule type="cellIs" dxfId="1088" priority="720" operator="greaterThan">
      <formula>60</formula>
    </cfRule>
  </conditionalFormatting>
  <conditionalFormatting sqref="L149:M151 L161:M161 L153:M155 L157:M159 L141:M143 L132:M133 L135:M136 L138:M139 L129:M130 L101:M102 L104:M105 L115:M116 L126:M127 L93:M94 L87:M88 L69:M70 L72:M73 L75:M76 L78:M81 L83:M85 L118:M120 L96:M99 L107:M109 L111:M113 L145:M147 L122:M124 L90:M91 L54:M55 L57:M59 L61:M63 L47:M49 L51:M52 L1:M1 L3:M3 L5:M9 L11:M13 L18:M21 L23:M26 L28:M30 L32:M34 L36:M37 L39:M42 L65:M67 L15:M16 L44:M45">
    <cfRule type="cellIs" dxfId="1087" priority="718" operator="greaterThan">
      <formula>60</formula>
    </cfRule>
  </conditionalFormatting>
  <conditionalFormatting sqref="L149:M151 L161:M161 L153:M155 L157:M159 L141:M143 L132:M133 L135:M136 L138:M139 L129:M130 L101:M102 L104:M105 L115:M116 L126:M127 L93:M94 L87:M88 L69:M70 L72:M73 L75:M76 L78:M81 L83:M85 L118:M120 L96:M99 L107:M109 L111:M113 L145:M147 L122:M124 L90:M91 L54:M55 L57:M59 L61:M63 L47:M49 L51:M52 L8:M9 L11:M13 L18:M21 L23:M26 L28:M30 L32:M34 L36:M37 L39:M42 L65:M67 L15:M16 L44:M45">
    <cfRule type="cellIs" dxfId="1086" priority="715" stopIfTrue="1" operator="between">
      <formula>150</formula>
      <formula>170</formula>
    </cfRule>
    <cfRule type="cellIs" dxfId="1085" priority="716" stopIfTrue="1" operator="lessThan">
      <formula>150</formula>
    </cfRule>
    <cfRule type="cellIs" dxfId="1084" priority="717" stopIfTrue="1" operator="greaterThan">
      <formula>170</formula>
    </cfRule>
  </conditionalFormatting>
  <conditionalFormatting sqref="L164:M164 L162:M162">
    <cfRule type="cellIs" dxfId="1083" priority="713" operator="lessThan">
      <formula>59</formula>
    </cfRule>
    <cfRule type="cellIs" dxfId="1082" priority="714" operator="greaterThan">
      <formula>60</formula>
    </cfRule>
  </conditionalFormatting>
  <conditionalFormatting sqref="L164:M164 L162:M162">
    <cfRule type="cellIs" dxfId="1081" priority="712" operator="greaterThan">
      <formula>60</formula>
    </cfRule>
  </conditionalFormatting>
  <conditionalFormatting sqref="L164:M164 L162:M162">
    <cfRule type="cellIs" dxfId="1080" priority="709" stopIfTrue="1" operator="between">
      <formula>150</formula>
      <formula>170</formula>
    </cfRule>
    <cfRule type="cellIs" dxfId="1079" priority="710" stopIfTrue="1" operator="lessThan">
      <formula>150</formula>
    </cfRule>
    <cfRule type="cellIs" dxfId="1078" priority="711" stopIfTrue="1" operator="greaterThan">
      <formula>170</formula>
    </cfRule>
  </conditionalFormatting>
  <conditionalFormatting sqref="L165:M167">
    <cfRule type="cellIs" dxfId="1077" priority="707" operator="lessThan">
      <formula>59</formula>
    </cfRule>
    <cfRule type="cellIs" dxfId="1076" priority="708" operator="greaterThan">
      <formula>60</formula>
    </cfRule>
  </conditionalFormatting>
  <conditionalFormatting sqref="L165:M167">
    <cfRule type="cellIs" dxfId="1075" priority="706" operator="greaterThan">
      <formula>60</formula>
    </cfRule>
  </conditionalFormatting>
  <conditionalFormatting sqref="L165:M167">
    <cfRule type="cellIs" dxfId="1074" priority="703" stopIfTrue="1" operator="between">
      <formula>150</formula>
      <formula>170</formula>
    </cfRule>
    <cfRule type="cellIs" dxfId="1073" priority="704" stopIfTrue="1" operator="lessThan">
      <formula>150</formula>
    </cfRule>
    <cfRule type="cellIs" dxfId="1072" priority="705" stopIfTrue="1" operator="greaterThan">
      <formula>170</formula>
    </cfRule>
  </conditionalFormatting>
  <conditionalFormatting sqref="L170:M170 L168:M168">
    <cfRule type="cellIs" dxfId="1071" priority="701" operator="lessThan">
      <formula>59</formula>
    </cfRule>
    <cfRule type="cellIs" dxfId="1070" priority="702" operator="greaterThan">
      <formula>60</formula>
    </cfRule>
  </conditionalFormatting>
  <conditionalFormatting sqref="L170:M170 L168:M168">
    <cfRule type="cellIs" dxfId="1069" priority="700" operator="greaterThan">
      <formula>60</formula>
    </cfRule>
  </conditionalFormatting>
  <conditionalFormatting sqref="L170:M170 L168:M168">
    <cfRule type="cellIs" dxfId="1068" priority="697" stopIfTrue="1" operator="between">
      <formula>150</formula>
      <formula>170</formula>
    </cfRule>
    <cfRule type="cellIs" dxfId="1067" priority="698" stopIfTrue="1" operator="lessThan">
      <formula>150</formula>
    </cfRule>
    <cfRule type="cellIs" dxfId="1066" priority="699" stopIfTrue="1" operator="greaterThan">
      <formula>170</formula>
    </cfRule>
  </conditionalFormatting>
  <conditionalFormatting sqref="L171:M171 L173:M173">
    <cfRule type="cellIs" dxfId="1065" priority="695" operator="lessThan">
      <formula>59</formula>
    </cfRule>
    <cfRule type="cellIs" dxfId="1064" priority="696" operator="greaterThan">
      <formula>60</formula>
    </cfRule>
  </conditionalFormatting>
  <conditionalFormatting sqref="L171:M171 L173:M173">
    <cfRule type="cellIs" dxfId="1063" priority="694" operator="greaterThan">
      <formula>60</formula>
    </cfRule>
  </conditionalFormatting>
  <conditionalFormatting sqref="L171:M171 L173:M173">
    <cfRule type="cellIs" dxfId="1062" priority="691" stopIfTrue="1" operator="between">
      <formula>150</formula>
      <formula>170</formula>
    </cfRule>
    <cfRule type="cellIs" dxfId="1061" priority="692" stopIfTrue="1" operator="lessThan">
      <formula>150</formula>
    </cfRule>
    <cfRule type="cellIs" dxfId="1060" priority="693" stopIfTrue="1" operator="greaterThan">
      <formula>170</formula>
    </cfRule>
  </conditionalFormatting>
  <conditionalFormatting sqref="L174:M174 L176:M176">
    <cfRule type="cellIs" dxfId="1059" priority="689" operator="lessThan">
      <formula>59</formula>
    </cfRule>
    <cfRule type="cellIs" dxfId="1058" priority="690" operator="greaterThan">
      <formula>60</formula>
    </cfRule>
  </conditionalFormatting>
  <conditionalFormatting sqref="L174:M174 L176:M176">
    <cfRule type="cellIs" dxfId="1057" priority="688" operator="greaterThan">
      <formula>60</formula>
    </cfRule>
  </conditionalFormatting>
  <conditionalFormatting sqref="L174:M174 L176:M176">
    <cfRule type="cellIs" dxfId="1056" priority="685" stopIfTrue="1" operator="between">
      <formula>150</formula>
      <formula>170</formula>
    </cfRule>
    <cfRule type="cellIs" dxfId="1055" priority="686" stopIfTrue="1" operator="lessThan">
      <formula>150</formula>
    </cfRule>
    <cfRule type="cellIs" dxfId="1054" priority="687" stopIfTrue="1" operator="greaterThan">
      <formula>170</formula>
    </cfRule>
  </conditionalFormatting>
  <conditionalFormatting sqref="L177:M177 L179:M179">
    <cfRule type="cellIs" dxfId="1053" priority="683" operator="lessThan">
      <formula>59</formula>
    </cfRule>
    <cfRule type="cellIs" dxfId="1052" priority="684" operator="greaterThan">
      <formula>60</formula>
    </cfRule>
  </conditionalFormatting>
  <conditionalFormatting sqref="L177:M177 L179:M179">
    <cfRule type="cellIs" dxfId="1051" priority="682" operator="greaterThan">
      <formula>60</formula>
    </cfRule>
  </conditionalFormatting>
  <conditionalFormatting sqref="L177:M177 L179:M179">
    <cfRule type="cellIs" dxfId="1050" priority="679" stopIfTrue="1" operator="between">
      <formula>150</formula>
      <formula>170</formula>
    </cfRule>
    <cfRule type="cellIs" dxfId="1049" priority="680" stopIfTrue="1" operator="lessThan">
      <formula>150</formula>
    </cfRule>
    <cfRule type="cellIs" dxfId="1048" priority="681" stopIfTrue="1" operator="greaterThan">
      <formula>170</formula>
    </cfRule>
  </conditionalFormatting>
  <conditionalFormatting sqref="L180:M180 L182:M182">
    <cfRule type="cellIs" dxfId="1047" priority="677" operator="lessThan">
      <formula>59</formula>
    </cfRule>
    <cfRule type="cellIs" dxfId="1046" priority="678" operator="greaterThan">
      <formula>60</formula>
    </cfRule>
  </conditionalFormatting>
  <conditionalFormatting sqref="L180:M180 L182:M182">
    <cfRule type="cellIs" dxfId="1045" priority="676" operator="greaterThan">
      <formula>60</formula>
    </cfRule>
  </conditionalFormatting>
  <conditionalFormatting sqref="L180:M180 L182:M182">
    <cfRule type="cellIs" dxfId="1044" priority="673" stopIfTrue="1" operator="between">
      <formula>150</formula>
      <formula>170</formula>
    </cfRule>
    <cfRule type="cellIs" dxfId="1043" priority="674" stopIfTrue="1" operator="lessThan">
      <formula>150</formula>
    </cfRule>
    <cfRule type="cellIs" dxfId="1042" priority="675" stopIfTrue="1" operator="greaterThan">
      <formula>170</formula>
    </cfRule>
  </conditionalFormatting>
  <conditionalFormatting sqref="L183:M183 L185:M185">
    <cfRule type="cellIs" dxfId="1041" priority="671" operator="lessThan">
      <formula>59</formula>
    </cfRule>
    <cfRule type="cellIs" dxfId="1040" priority="672" operator="greaterThan">
      <formula>60</formula>
    </cfRule>
  </conditionalFormatting>
  <conditionalFormatting sqref="L183:M183 L185:M185">
    <cfRule type="cellIs" dxfId="1039" priority="670" operator="greaterThan">
      <formula>60</formula>
    </cfRule>
  </conditionalFormatting>
  <conditionalFormatting sqref="L183:M183 L185:M185">
    <cfRule type="cellIs" dxfId="1038" priority="667" stopIfTrue="1" operator="between">
      <formula>150</formula>
      <formula>170</formula>
    </cfRule>
    <cfRule type="cellIs" dxfId="1037" priority="668" stopIfTrue="1" operator="lessThan">
      <formula>150</formula>
    </cfRule>
    <cfRule type="cellIs" dxfId="1036" priority="669" stopIfTrue="1" operator="greaterThan">
      <formula>170</formula>
    </cfRule>
  </conditionalFormatting>
  <conditionalFormatting sqref="L186:M186 L188:M188">
    <cfRule type="cellIs" dxfId="1035" priority="665" operator="lessThan">
      <formula>59</formula>
    </cfRule>
    <cfRule type="cellIs" dxfId="1034" priority="666" operator="greaterThan">
      <formula>60</formula>
    </cfRule>
  </conditionalFormatting>
  <conditionalFormatting sqref="L186:M186 L188:M188">
    <cfRule type="cellIs" dxfId="1033" priority="664" operator="greaterThan">
      <formula>60</formula>
    </cfRule>
  </conditionalFormatting>
  <conditionalFormatting sqref="L186:M186 L188:M188">
    <cfRule type="cellIs" dxfId="1032" priority="661" stopIfTrue="1" operator="between">
      <formula>150</formula>
      <formula>170</formula>
    </cfRule>
    <cfRule type="cellIs" dxfId="1031" priority="662" stopIfTrue="1" operator="lessThan">
      <formula>150</formula>
    </cfRule>
    <cfRule type="cellIs" dxfId="1030" priority="663" stopIfTrue="1" operator="greaterThan">
      <formula>170</formula>
    </cfRule>
  </conditionalFormatting>
  <conditionalFormatting sqref="L191:M191 L189:M189">
    <cfRule type="cellIs" dxfId="1029" priority="659" operator="lessThan">
      <formula>59</formula>
    </cfRule>
    <cfRule type="cellIs" dxfId="1028" priority="660" operator="greaterThan">
      <formula>60</formula>
    </cfRule>
  </conditionalFormatting>
  <conditionalFormatting sqref="L191:M191 L189:M189">
    <cfRule type="cellIs" dxfId="1027" priority="658" operator="greaterThan">
      <formula>60</formula>
    </cfRule>
  </conditionalFormatting>
  <conditionalFormatting sqref="L191:M191 L189:M189">
    <cfRule type="cellIs" dxfId="1026" priority="655" stopIfTrue="1" operator="between">
      <formula>150</formula>
      <formula>170</formula>
    </cfRule>
    <cfRule type="cellIs" dxfId="1025" priority="656" stopIfTrue="1" operator="lessThan">
      <formula>150</formula>
    </cfRule>
    <cfRule type="cellIs" dxfId="1024" priority="657" stopIfTrue="1" operator="greaterThan">
      <formula>170</formula>
    </cfRule>
  </conditionalFormatting>
  <conditionalFormatting sqref="L194:M194 L192:M192">
    <cfRule type="cellIs" dxfId="1023" priority="654" operator="greaterThan">
      <formula>60</formula>
    </cfRule>
  </conditionalFormatting>
  <conditionalFormatting sqref="L194:M194 L192:M192">
    <cfRule type="cellIs" dxfId="1022" priority="651" stopIfTrue="1" operator="between">
      <formula>150</formula>
      <formula>170</formula>
    </cfRule>
    <cfRule type="cellIs" dxfId="1021" priority="652" stopIfTrue="1" operator="lessThan">
      <formula>150</formula>
    </cfRule>
    <cfRule type="cellIs" dxfId="1020" priority="653" stopIfTrue="1" operator="greaterThan">
      <formula>170</formula>
    </cfRule>
  </conditionalFormatting>
  <conditionalFormatting sqref="L192:M192">
    <cfRule type="cellIs" dxfId="1019" priority="649" operator="lessThan">
      <formula>59</formula>
    </cfRule>
    <cfRule type="cellIs" dxfId="1018" priority="650" operator="greaterThan">
      <formula>60</formula>
    </cfRule>
  </conditionalFormatting>
  <conditionalFormatting sqref="L192:M192">
    <cfRule type="cellIs" dxfId="1017" priority="647" operator="lessThan">
      <formula>59</formula>
    </cfRule>
    <cfRule type="cellIs" dxfId="1016" priority="648" operator="greaterThan">
      <formula>60</formula>
    </cfRule>
  </conditionalFormatting>
  <conditionalFormatting sqref="L192:M192">
    <cfRule type="cellIs" dxfId="1015" priority="645" operator="lessThan">
      <formula>59</formula>
    </cfRule>
    <cfRule type="cellIs" dxfId="1014" priority="646" operator="greaterThan">
      <formula>60</formula>
    </cfRule>
  </conditionalFormatting>
  <conditionalFormatting sqref="L192:M192">
    <cfRule type="cellIs" dxfId="1013" priority="643" operator="lessThan">
      <formula>59</formula>
    </cfRule>
    <cfRule type="cellIs" dxfId="1012" priority="644" operator="greaterThan">
      <formula>60</formula>
    </cfRule>
  </conditionalFormatting>
  <conditionalFormatting sqref="L194:M194">
    <cfRule type="cellIs" dxfId="1011" priority="641" operator="lessThan">
      <formula>59</formula>
    </cfRule>
    <cfRule type="cellIs" dxfId="1010" priority="642" operator="greaterThan">
      <formula>60</formula>
    </cfRule>
  </conditionalFormatting>
  <conditionalFormatting sqref="L192:M192">
    <cfRule type="cellIs" dxfId="1009" priority="639" operator="lessThan">
      <formula>59</formula>
    </cfRule>
    <cfRule type="cellIs" dxfId="1008" priority="640" operator="greaterThan">
      <formula>60</formula>
    </cfRule>
  </conditionalFormatting>
  <conditionalFormatting sqref="L194:M194">
    <cfRule type="cellIs" dxfId="1007" priority="637" operator="lessThan">
      <formula>59</formula>
    </cfRule>
    <cfRule type="cellIs" dxfId="1006" priority="638" operator="greaterThan">
      <formula>60</formula>
    </cfRule>
  </conditionalFormatting>
  <conditionalFormatting sqref="L194:M194">
    <cfRule type="cellIs" dxfId="1005" priority="635" operator="lessThan">
      <formula>59</formula>
    </cfRule>
    <cfRule type="cellIs" dxfId="1004" priority="636" operator="greaterThan">
      <formula>60</formula>
    </cfRule>
  </conditionalFormatting>
  <conditionalFormatting sqref="L194:M194">
    <cfRule type="cellIs" dxfId="1003" priority="633" operator="lessThan">
      <formula>59</formula>
    </cfRule>
    <cfRule type="cellIs" dxfId="1002" priority="634" operator="greaterThan">
      <formula>60</formula>
    </cfRule>
  </conditionalFormatting>
  <conditionalFormatting sqref="L194:M194">
    <cfRule type="cellIs" dxfId="1001" priority="631" operator="lessThan">
      <formula>59</formula>
    </cfRule>
    <cfRule type="cellIs" dxfId="1000" priority="632" operator="greaterThan">
      <formula>60</formula>
    </cfRule>
  </conditionalFormatting>
  <conditionalFormatting sqref="L194:M194">
    <cfRule type="cellIs" dxfId="999" priority="629" operator="lessThan">
      <formula>59</formula>
    </cfRule>
    <cfRule type="cellIs" dxfId="998" priority="630" operator="greaterThan">
      <formula>60</formula>
    </cfRule>
  </conditionalFormatting>
  <conditionalFormatting sqref="L194:M194">
    <cfRule type="cellIs" dxfId="997" priority="627" operator="lessThan">
      <formula>59</formula>
    </cfRule>
    <cfRule type="cellIs" dxfId="996" priority="628" operator="greaterThan">
      <formula>60</formula>
    </cfRule>
  </conditionalFormatting>
  <conditionalFormatting sqref="L194:M194">
    <cfRule type="cellIs" dxfId="995" priority="625" operator="lessThan">
      <formula>59</formula>
    </cfRule>
    <cfRule type="cellIs" dxfId="994" priority="626" operator="greaterThan">
      <formula>60</formula>
    </cfRule>
  </conditionalFormatting>
  <conditionalFormatting sqref="L192:M192">
    <cfRule type="cellIs" dxfId="993" priority="623" operator="lessThan">
      <formula>59</formula>
    </cfRule>
    <cfRule type="cellIs" dxfId="992" priority="624" operator="greaterThan">
      <formula>60</formula>
    </cfRule>
  </conditionalFormatting>
  <conditionalFormatting sqref="L192:M192">
    <cfRule type="cellIs" dxfId="991" priority="621" operator="lessThan">
      <formula>59</formula>
    </cfRule>
    <cfRule type="cellIs" dxfId="990" priority="622" operator="greaterThan">
      <formula>60</formula>
    </cfRule>
  </conditionalFormatting>
  <conditionalFormatting sqref="L192:M192">
    <cfRule type="cellIs" dxfId="989" priority="619" operator="lessThan">
      <formula>59</formula>
    </cfRule>
    <cfRule type="cellIs" dxfId="988" priority="620" operator="greaterThan">
      <formula>60</formula>
    </cfRule>
  </conditionalFormatting>
  <conditionalFormatting sqref="L194:M194">
    <cfRule type="cellIs" dxfId="987" priority="617" operator="lessThan">
      <formula>59</formula>
    </cfRule>
    <cfRule type="cellIs" dxfId="986" priority="618" operator="greaterThan">
      <formula>60</formula>
    </cfRule>
  </conditionalFormatting>
  <conditionalFormatting sqref="L194:M194">
    <cfRule type="cellIs" dxfId="985" priority="615" operator="lessThan">
      <formula>59</formula>
    </cfRule>
    <cfRule type="cellIs" dxfId="984" priority="616" operator="greaterThan">
      <formula>60</formula>
    </cfRule>
  </conditionalFormatting>
  <conditionalFormatting sqref="L194:M194">
    <cfRule type="cellIs" dxfId="983" priority="613" operator="lessThan">
      <formula>59</formula>
    </cfRule>
    <cfRule type="cellIs" dxfId="982" priority="614" operator="greaterThan">
      <formula>60</formula>
    </cfRule>
  </conditionalFormatting>
  <conditionalFormatting sqref="L192:M192">
    <cfRule type="cellIs" dxfId="981" priority="611" operator="lessThan">
      <formula>59</formula>
    </cfRule>
    <cfRule type="cellIs" dxfId="980" priority="612" operator="greaterThan">
      <formula>60</formula>
    </cfRule>
  </conditionalFormatting>
  <conditionalFormatting sqref="L192:M192">
    <cfRule type="cellIs" dxfId="979" priority="609" operator="lessThan">
      <formula>59</formula>
    </cfRule>
    <cfRule type="cellIs" dxfId="978" priority="610" operator="greaterThan">
      <formula>60</formula>
    </cfRule>
  </conditionalFormatting>
  <conditionalFormatting sqref="L194:M194">
    <cfRule type="cellIs" dxfId="977" priority="607" operator="lessThan">
      <formula>59</formula>
    </cfRule>
    <cfRule type="cellIs" dxfId="976" priority="608" operator="greaterThan">
      <formula>60</formula>
    </cfRule>
  </conditionalFormatting>
  <conditionalFormatting sqref="L192:M192">
    <cfRule type="cellIs" dxfId="975" priority="605" operator="lessThan">
      <formula>59</formula>
    </cfRule>
    <cfRule type="cellIs" dxfId="974" priority="606" operator="greaterThan">
      <formula>60</formula>
    </cfRule>
  </conditionalFormatting>
  <conditionalFormatting sqref="L192:M192">
    <cfRule type="cellIs" dxfId="973" priority="603" operator="lessThan">
      <formula>59</formula>
    </cfRule>
    <cfRule type="cellIs" dxfId="972" priority="604" operator="greaterThan">
      <formula>60</formula>
    </cfRule>
  </conditionalFormatting>
  <conditionalFormatting sqref="L192:M192">
    <cfRule type="cellIs" dxfId="971" priority="601" operator="lessThan">
      <formula>59</formula>
    </cfRule>
    <cfRule type="cellIs" dxfId="970" priority="602" operator="greaterThan">
      <formula>60</formula>
    </cfRule>
  </conditionalFormatting>
  <conditionalFormatting sqref="L192:M192">
    <cfRule type="cellIs" dxfId="969" priority="599" operator="lessThan">
      <formula>59</formula>
    </cfRule>
    <cfRule type="cellIs" dxfId="968" priority="600" operator="greaterThan">
      <formula>60</formula>
    </cfRule>
  </conditionalFormatting>
  <conditionalFormatting sqref="L192:M192">
    <cfRule type="cellIs" dxfId="967" priority="597" operator="lessThan">
      <formula>59</formula>
    </cfRule>
    <cfRule type="cellIs" dxfId="966" priority="598" operator="greaterThan">
      <formula>60</formula>
    </cfRule>
  </conditionalFormatting>
  <conditionalFormatting sqref="L192:M192">
    <cfRule type="cellIs" dxfId="965" priority="595" operator="lessThan">
      <formula>59</formula>
    </cfRule>
    <cfRule type="cellIs" dxfId="964" priority="596" operator="greaterThan">
      <formula>60</formula>
    </cfRule>
  </conditionalFormatting>
  <conditionalFormatting sqref="L192:M192">
    <cfRule type="cellIs" dxfId="963" priority="593" operator="lessThan">
      <formula>59</formula>
    </cfRule>
    <cfRule type="cellIs" dxfId="962" priority="594" operator="greaterThan">
      <formula>60</formula>
    </cfRule>
  </conditionalFormatting>
  <conditionalFormatting sqref="L192:M192">
    <cfRule type="cellIs" dxfId="961" priority="591" operator="lessThan">
      <formula>59</formula>
    </cfRule>
    <cfRule type="cellIs" dxfId="960" priority="592" operator="greaterThan">
      <formula>60</formula>
    </cfRule>
  </conditionalFormatting>
  <conditionalFormatting sqref="L192:M192">
    <cfRule type="cellIs" dxfId="959" priority="589" operator="lessThan">
      <formula>59</formula>
    </cfRule>
    <cfRule type="cellIs" dxfId="958" priority="590" operator="greaterThan">
      <formula>60</formula>
    </cfRule>
  </conditionalFormatting>
  <conditionalFormatting sqref="L192:M192">
    <cfRule type="cellIs" dxfId="957" priority="587" operator="lessThan">
      <formula>59</formula>
    </cfRule>
    <cfRule type="cellIs" dxfId="956" priority="588" operator="greaterThan">
      <formula>60</formula>
    </cfRule>
  </conditionalFormatting>
  <conditionalFormatting sqref="L192:M192">
    <cfRule type="cellIs" dxfId="955" priority="585" operator="lessThan">
      <formula>59</formula>
    </cfRule>
    <cfRule type="cellIs" dxfId="954" priority="586" operator="greaterThan">
      <formula>60</formula>
    </cfRule>
  </conditionalFormatting>
  <conditionalFormatting sqref="L192:M192">
    <cfRule type="cellIs" dxfId="953" priority="583" operator="lessThan">
      <formula>59</formula>
    </cfRule>
    <cfRule type="cellIs" dxfId="952" priority="584" operator="greaterThan">
      <formula>60</formula>
    </cfRule>
  </conditionalFormatting>
  <conditionalFormatting sqref="L194:M194">
    <cfRule type="cellIs" dxfId="951" priority="581" operator="lessThan">
      <formula>59</formula>
    </cfRule>
    <cfRule type="cellIs" dxfId="950" priority="582" operator="greaterThan">
      <formula>60</formula>
    </cfRule>
  </conditionalFormatting>
  <conditionalFormatting sqref="L192:M192">
    <cfRule type="cellIs" dxfId="949" priority="579" operator="lessThan">
      <formula>59</formula>
    </cfRule>
    <cfRule type="cellIs" dxfId="948" priority="580" operator="greaterThan">
      <formula>60</formula>
    </cfRule>
  </conditionalFormatting>
  <conditionalFormatting sqref="L194:M194">
    <cfRule type="cellIs" dxfId="947" priority="577" operator="lessThan">
      <formula>59</formula>
    </cfRule>
    <cfRule type="cellIs" dxfId="946" priority="578" operator="greaterThan">
      <formula>60</formula>
    </cfRule>
  </conditionalFormatting>
  <conditionalFormatting sqref="L194:M194">
    <cfRule type="cellIs" dxfId="945" priority="575" operator="lessThan">
      <formula>59</formula>
    </cfRule>
    <cfRule type="cellIs" dxfId="944" priority="576" operator="greaterThan">
      <formula>60</formula>
    </cfRule>
  </conditionalFormatting>
  <conditionalFormatting sqref="L194:M194">
    <cfRule type="cellIs" dxfId="943" priority="573" operator="lessThan">
      <formula>59</formula>
    </cfRule>
    <cfRule type="cellIs" dxfId="942" priority="574" operator="greaterThan">
      <formula>60</formula>
    </cfRule>
  </conditionalFormatting>
  <conditionalFormatting sqref="L194:M194">
    <cfRule type="cellIs" dxfId="941" priority="571" operator="lessThan">
      <formula>59</formula>
    </cfRule>
    <cfRule type="cellIs" dxfId="940" priority="572" operator="greaterThan">
      <formula>60</formula>
    </cfRule>
  </conditionalFormatting>
  <conditionalFormatting sqref="L194:M194">
    <cfRule type="cellIs" dxfId="939" priority="569" operator="lessThan">
      <formula>59</formula>
    </cfRule>
    <cfRule type="cellIs" dxfId="938" priority="570" operator="greaterThan">
      <formula>60</formula>
    </cfRule>
  </conditionalFormatting>
  <conditionalFormatting sqref="L194:M194">
    <cfRule type="cellIs" dxfId="937" priority="567" operator="lessThan">
      <formula>59</formula>
    </cfRule>
    <cfRule type="cellIs" dxfId="936" priority="568" operator="greaterThan">
      <formula>60</formula>
    </cfRule>
  </conditionalFormatting>
  <conditionalFormatting sqref="L194:M194">
    <cfRule type="cellIs" dxfId="935" priority="565" operator="lessThan">
      <formula>59</formula>
    </cfRule>
    <cfRule type="cellIs" dxfId="934" priority="566" operator="greaterThan">
      <formula>60</formula>
    </cfRule>
  </conditionalFormatting>
  <conditionalFormatting sqref="L192:M192">
    <cfRule type="cellIs" dxfId="933" priority="563" operator="lessThan">
      <formula>59</formula>
    </cfRule>
    <cfRule type="cellIs" dxfId="932" priority="564" operator="greaterThan">
      <formula>60</formula>
    </cfRule>
  </conditionalFormatting>
  <conditionalFormatting sqref="L192:M192">
    <cfRule type="cellIs" dxfId="931" priority="561" operator="lessThan">
      <formula>59</formula>
    </cfRule>
    <cfRule type="cellIs" dxfId="930" priority="562" operator="greaterThan">
      <formula>60</formula>
    </cfRule>
  </conditionalFormatting>
  <conditionalFormatting sqref="L192:M192">
    <cfRule type="cellIs" dxfId="929" priority="559" operator="lessThan">
      <formula>59</formula>
    </cfRule>
    <cfRule type="cellIs" dxfId="928" priority="560" operator="greaterThan">
      <formula>60</formula>
    </cfRule>
  </conditionalFormatting>
  <conditionalFormatting sqref="L192:M192">
    <cfRule type="cellIs" dxfId="927" priority="557" operator="lessThan">
      <formula>59</formula>
    </cfRule>
    <cfRule type="cellIs" dxfId="926" priority="558" operator="greaterThan">
      <formula>60</formula>
    </cfRule>
  </conditionalFormatting>
  <conditionalFormatting sqref="L192:M192">
    <cfRule type="cellIs" dxfId="925" priority="555" operator="lessThan">
      <formula>59</formula>
    </cfRule>
    <cfRule type="cellIs" dxfId="924" priority="556" operator="greaterThan">
      <formula>60</formula>
    </cfRule>
  </conditionalFormatting>
  <conditionalFormatting sqref="L192:M192">
    <cfRule type="cellIs" dxfId="923" priority="553" operator="lessThan">
      <formula>59</formula>
    </cfRule>
    <cfRule type="cellIs" dxfId="922" priority="554" operator="greaterThan">
      <formula>60</formula>
    </cfRule>
  </conditionalFormatting>
  <conditionalFormatting sqref="L192:M192">
    <cfRule type="cellIs" dxfId="921" priority="551" operator="lessThan">
      <formula>59</formula>
    </cfRule>
    <cfRule type="cellIs" dxfId="920" priority="552" operator="greaterThan">
      <formula>60</formula>
    </cfRule>
  </conditionalFormatting>
  <conditionalFormatting sqref="L192:M192">
    <cfRule type="cellIs" dxfId="919" priority="549" operator="lessThan">
      <formula>59</formula>
    </cfRule>
    <cfRule type="cellIs" dxfId="918" priority="550" operator="greaterThan">
      <formula>60</formula>
    </cfRule>
  </conditionalFormatting>
  <conditionalFormatting sqref="L194:M194">
    <cfRule type="cellIs" dxfId="917" priority="547" operator="lessThan">
      <formula>59</formula>
    </cfRule>
    <cfRule type="cellIs" dxfId="916" priority="548" operator="greaterThan">
      <formula>60</formula>
    </cfRule>
  </conditionalFormatting>
  <conditionalFormatting sqref="L194:M194">
    <cfRule type="cellIs" dxfId="915" priority="545" operator="lessThan">
      <formula>59</formula>
    </cfRule>
    <cfRule type="cellIs" dxfId="914" priority="546" operator="greaterThan">
      <formula>60</formula>
    </cfRule>
  </conditionalFormatting>
  <conditionalFormatting sqref="L192:M192">
    <cfRule type="cellIs" dxfId="913" priority="543" operator="lessThan">
      <formula>59</formula>
    </cfRule>
    <cfRule type="cellIs" dxfId="912" priority="544" operator="greaterThan">
      <formula>60</formula>
    </cfRule>
  </conditionalFormatting>
  <conditionalFormatting sqref="L192:M192">
    <cfRule type="cellIs" dxfId="911" priority="541" operator="lessThan">
      <formula>59</formula>
    </cfRule>
    <cfRule type="cellIs" dxfId="910" priority="542" operator="greaterThan">
      <formula>60</formula>
    </cfRule>
  </conditionalFormatting>
  <conditionalFormatting sqref="L192:M192">
    <cfRule type="cellIs" dxfId="909" priority="539" operator="lessThan">
      <formula>59</formula>
    </cfRule>
    <cfRule type="cellIs" dxfId="908" priority="540" operator="greaterThan">
      <formula>60</formula>
    </cfRule>
  </conditionalFormatting>
  <conditionalFormatting sqref="L192:M192">
    <cfRule type="cellIs" dxfId="907" priority="537" operator="lessThan">
      <formula>59</formula>
    </cfRule>
    <cfRule type="cellIs" dxfId="906" priority="538" operator="greaterThan">
      <formula>60</formula>
    </cfRule>
  </conditionalFormatting>
  <conditionalFormatting sqref="L194:M194">
    <cfRule type="cellIs" dxfId="905" priority="535" operator="lessThan">
      <formula>59</formula>
    </cfRule>
    <cfRule type="cellIs" dxfId="904" priority="536" operator="greaterThan">
      <formula>60</formula>
    </cfRule>
  </conditionalFormatting>
  <conditionalFormatting sqref="L194:M194">
    <cfRule type="cellIs" dxfId="903" priority="533" operator="lessThan">
      <formula>59</formula>
    </cfRule>
    <cfRule type="cellIs" dxfId="902" priority="534" operator="greaterThan">
      <formula>60</formula>
    </cfRule>
  </conditionalFormatting>
  <conditionalFormatting sqref="L194:M194">
    <cfRule type="cellIs" dxfId="901" priority="531" operator="lessThan">
      <formula>59</formula>
    </cfRule>
    <cfRule type="cellIs" dxfId="900" priority="532" operator="greaterThan">
      <formula>60</formula>
    </cfRule>
  </conditionalFormatting>
  <conditionalFormatting sqref="L194:M194">
    <cfRule type="cellIs" dxfId="899" priority="529" operator="lessThan">
      <formula>59</formula>
    </cfRule>
    <cfRule type="cellIs" dxfId="898" priority="530" operator="greaterThan">
      <formula>60</formula>
    </cfRule>
  </conditionalFormatting>
  <conditionalFormatting sqref="L194:M194">
    <cfRule type="cellIs" dxfId="897" priority="527" operator="lessThan">
      <formula>59</formula>
    </cfRule>
    <cfRule type="cellIs" dxfId="896" priority="528" operator="greaterThan">
      <formula>60</formula>
    </cfRule>
  </conditionalFormatting>
  <conditionalFormatting sqref="L194:M194">
    <cfRule type="cellIs" dxfId="895" priority="525" operator="lessThan">
      <formula>59</formula>
    </cfRule>
    <cfRule type="cellIs" dxfId="894" priority="526" operator="greaterThan">
      <formula>60</formula>
    </cfRule>
  </conditionalFormatting>
  <conditionalFormatting sqref="L194:M194">
    <cfRule type="cellIs" dxfId="893" priority="523" operator="lessThan">
      <formula>59</formula>
    </cfRule>
    <cfRule type="cellIs" dxfId="892" priority="524" operator="greaterThan">
      <formula>60</formula>
    </cfRule>
  </conditionalFormatting>
  <conditionalFormatting sqref="L194:M194">
    <cfRule type="cellIs" dxfId="891" priority="521" operator="lessThan">
      <formula>59</formula>
    </cfRule>
    <cfRule type="cellIs" dxfId="890" priority="522" operator="greaterThan">
      <formula>60</formula>
    </cfRule>
  </conditionalFormatting>
  <conditionalFormatting sqref="L192:M192">
    <cfRule type="cellIs" dxfId="889" priority="519" operator="lessThan">
      <formula>59</formula>
    </cfRule>
    <cfRule type="cellIs" dxfId="888" priority="520" operator="greaterThan">
      <formula>60</formula>
    </cfRule>
  </conditionalFormatting>
  <conditionalFormatting sqref="L192:M192">
    <cfRule type="cellIs" dxfId="887" priority="517" operator="lessThan">
      <formula>59</formula>
    </cfRule>
    <cfRule type="cellIs" dxfId="886" priority="518" operator="greaterThan">
      <formula>60</formula>
    </cfRule>
  </conditionalFormatting>
  <conditionalFormatting sqref="L192:M192">
    <cfRule type="cellIs" dxfId="885" priority="515" operator="lessThan">
      <formula>59</formula>
    </cfRule>
    <cfRule type="cellIs" dxfId="884" priority="516" operator="greaterThan">
      <formula>60</formula>
    </cfRule>
  </conditionalFormatting>
  <conditionalFormatting sqref="L192:M192">
    <cfRule type="cellIs" dxfId="883" priority="513" operator="lessThan">
      <formula>59</formula>
    </cfRule>
    <cfRule type="cellIs" dxfId="882" priority="514" operator="greaterThan">
      <formula>60</formula>
    </cfRule>
  </conditionalFormatting>
  <conditionalFormatting sqref="L192:M192">
    <cfRule type="cellIs" dxfId="881" priority="511" operator="lessThan">
      <formula>59</formula>
    </cfRule>
    <cfRule type="cellIs" dxfId="880" priority="512" operator="greaterThan">
      <formula>60</formula>
    </cfRule>
  </conditionalFormatting>
  <conditionalFormatting sqref="L192:M192">
    <cfRule type="cellIs" dxfId="879" priority="509" operator="lessThan">
      <formula>59</formula>
    </cfRule>
    <cfRule type="cellIs" dxfId="878" priority="510" operator="greaterThan">
      <formula>60</formula>
    </cfRule>
  </conditionalFormatting>
  <conditionalFormatting sqref="L192:M192">
    <cfRule type="cellIs" dxfId="877" priority="507" operator="lessThan">
      <formula>59</formula>
    </cfRule>
    <cfRule type="cellIs" dxfId="876" priority="508" operator="greaterThan">
      <formula>60</formula>
    </cfRule>
  </conditionalFormatting>
  <conditionalFormatting sqref="L192:M192">
    <cfRule type="cellIs" dxfId="875" priority="505" operator="lessThan">
      <formula>59</formula>
    </cfRule>
    <cfRule type="cellIs" dxfId="874" priority="506" operator="greaterThan">
      <formula>60</formula>
    </cfRule>
  </conditionalFormatting>
  <conditionalFormatting sqref="L192:M192">
    <cfRule type="cellIs" dxfId="873" priority="503" operator="lessThan">
      <formula>59</formula>
    </cfRule>
    <cfRule type="cellIs" dxfId="872" priority="504" operator="greaterThan">
      <formula>60</formula>
    </cfRule>
  </conditionalFormatting>
  <conditionalFormatting sqref="L194:M194">
    <cfRule type="cellIs" dxfId="871" priority="501" operator="lessThan">
      <formula>59</formula>
    </cfRule>
    <cfRule type="cellIs" dxfId="870" priority="502" operator="greaterThan">
      <formula>60</formula>
    </cfRule>
  </conditionalFormatting>
  <conditionalFormatting sqref="L194:M194">
    <cfRule type="cellIs" dxfId="869" priority="499" operator="lessThan">
      <formula>59</formula>
    </cfRule>
    <cfRule type="cellIs" dxfId="868" priority="500" operator="greaterThan">
      <formula>60</formula>
    </cfRule>
  </conditionalFormatting>
  <conditionalFormatting sqref="L192:M192">
    <cfRule type="cellIs" dxfId="867" priority="497" operator="lessThan">
      <formula>59</formula>
    </cfRule>
    <cfRule type="cellIs" dxfId="866" priority="498" operator="greaterThan">
      <formula>60</formula>
    </cfRule>
  </conditionalFormatting>
  <conditionalFormatting sqref="L194:M194">
    <cfRule type="cellIs" dxfId="865" priority="495" operator="lessThan">
      <formula>59</formula>
    </cfRule>
    <cfRule type="cellIs" dxfId="864" priority="496" operator="greaterThan">
      <formula>60</formula>
    </cfRule>
  </conditionalFormatting>
  <conditionalFormatting sqref="L194:M194">
    <cfRule type="cellIs" dxfId="863" priority="493" operator="lessThan">
      <formula>59</formula>
    </cfRule>
    <cfRule type="cellIs" dxfId="862" priority="494" operator="greaterThan">
      <formula>60</formula>
    </cfRule>
  </conditionalFormatting>
  <conditionalFormatting sqref="L194:M194">
    <cfRule type="cellIs" dxfId="861" priority="491" operator="lessThan">
      <formula>59</formula>
    </cfRule>
    <cfRule type="cellIs" dxfId="860" priority="492" operator="greaterThan">
      <formula>60</formula>
    </cfRule>
  </conditionalFormatting>
  <conditionalFormatting sqref="L192:M192">
    <cfRule type="cellIs" dxfId="859" priority="489" operator="lessThan">
      <formula>59</formula>
    </cfRule>
    <cfRule type="cellIs" dxfId="858" priority="490" operator="greaterThan">
      <formula>60</formula>
    </cfRule>
  </conditionalFormatting>
  <conditionalFormatting sqref="L192:M192">
    <cfRule type="cellIs" dxfId="857" priority="487" operator="lessThan">
      <formula>59</formula>
    </cfRule>
    <cfRule type="cellIs" dxfId="856" priority="488" operator="greaterThan">
      <formula>60</formula>
    </cfRule>
  </conditionalFormatting>
  <conditionalFormatting sqref="L192:M192">
    <cfRule type="cellIs" dxfId="855" priority="485" operator="lessThan">
      <formula>59</formula>
    </cfRule>
    <cfRule type="cellIs" dxfId="854" priority="486" operator="greaterThan">
      <formula>60</formula>
    </cfRule>
  </conditionalFormatting>
  <conditionalFormatting sqref="L192:M192">
    <cfRule type="cellIs" dxfId="853" priority="483" operator="lessThan">
      <formula>59</formula>
    </cfRule>
    <cfRule type="cellIs" dxfId="852" priority="484" operator="greaterThan">
      <formula>60</formula>
    </cfRule>
  </conditionalFormatting>
  <conditionalFormatting sqref="L192:M192">
    <cfRule type="cellIs" dxfId="851" priority="481" operator="lessThan">
      <formula>59</formula>
    </cfRule>
    <cfRule type="cellIs" dxfId="850" priority="482" operator="greaterThan">
      <formula>60</formula>
    </cfRule>
  </conditionalFormatting>
  <conditionalFormatting sqref="L192:M192">
    <cfRule type="cellIs" dxfId="849" priority="479" operator="lessThan">
      <formula>59</formula>
    </cfRule>
    <cfRule type="cellIs" dxfId="848" priority="480" operator="greaterThan">
      <formula>60</formula>
    </cfRule>
  </conditionalFormatting>
  <conditionalFormatting sqref="L192:M192">
    <cfRule type="cellIs" dxfId="847" priority="477" operator="lessThan">
      <formula>59</formula>
    </cfRule>
    <cfRule type="cellIs" dxfId="846" priority="478" operator="greaterThan">
      <formula>60</formula>
    </cfRule>
  </conditionalFormatting>
  <conditionalFormatting sqref="L192:M192">
    <cfRule type="cellIs" dxfId="845" priority="475" operator="lessThan">
      <formula>59</formula>
    </cfRule>
    <cfRule type="cellIs" dxfId="844" priority="476" operator="greaterThan">
      <formula>60</formula>
    </cfRule>
  </conditionalFormatting>
  <conditionalFormatting sqref="L192:M192">
    <cfRule type="cellIs" dxfId="843" priority="473" operator="lessThan">
      <formula>59</formula>
    </cfRule>
    <cfRule type="cellIs" dxfId="842" priority="474" operator="greaterThan">
      <formula>60</formula>
    </cfRule>
  </conditionalFormatting>
  <conditionalFormatting sqref="L192:M192">
    <cfRule type="cellIs" dxfId="841" priority="471" operator="lessThan">
      <formula>59</formula>
    </cfRule>
    <cfRule type="cellIs" dxfId="840" priority="472" operator="greaterThan">
      <formula>60</formula>
    </cfRule>
  </conditionalFormatting>
  <conditionalFormatting sqref="L194:M194">
    <cfRule type="cellIs" dxfId="839" priority="469" operator="lessThan">
      <formula>59</formula>
    </cfRule>
    <cfRule type="cellIs" dxfId="838" priority="470" operator="greaterThan">
      <formula>60</formula>
    </cfRule>
  </conditionalFormatting>
  <conditionalFormatting sqref="L194:M194">
    <cfRule type="cellIs" dxfId="837" priority="467" operator="lessThan">
      <formula>59</formula>
    </cfRule>
    <cfRule type="cellIs" dxfId="836" priority="468" operator="greaterThan">
      <formula>60</formula>
    </cfRule>
  </conditionalFormatting>
  <conditionalFormatting sqref="L192:M192">
    <cfRule type="cellIs" dxfId="835" priority="465" operator="lessThan">
      <formula>59</formula>
    </cfRule>
    <cfRule type="cellIs" dxfId="834" priority="466" operator="greaterThan">
      <formula>60</formula>
    </cfRule>
  </conditionalFormatting>
  <conditionalFormatting sqref="L192:M192">
    <cfRule type="cellIs" dxfId="833" priority="463" operator="lessThan">
      <formula>59</formula>
    </cfRule>
    <cfRule type="cellIs" dxfId="832" priority="464" operator="greaterThan">
      <formula>60</formula>
    </cfRule>
  </conditionalFormatting>
  <conditionalFormatting sqref="L192:M192">
    <cfRule type="cellIs" dxfId="831" priority="461" operator="lessThan">
      <formula>59</formula>
    </cfRule>
    <cfRule type="cellIs" dxfId="830" priority="462" operator="greaterThan">
      <formula>60</formula>
    </cfRule>
  </conditionalFormatting>
  <conditionalFormatting sqref="L192:M192">
    <cfRule type="cellIs" dxfId="829" priority="459" operator="lessThan">
      <formula>59</formula>
    </cfRule>
    <cfRule type="cellIs" dxfId="828" priority="460" operator="greaterThan">
      <formula>60</formula>
    </cfRule>
  </conditionalFormatting>
  <conditionalFormatting sqref="L194:M194">
    <cfRule type="cellIs" dxfId="827" priority="457" operator="lessThan">
      <formula>59</formula>
    </cfRule>
    <cfRule type="cellIs" dxfId="826" priority="458" operator="greaterThan">
      <formula>60</formula>
    </cfRule>
  </conditionalFormatting>
  <conditionalFormatting sqref="L194:M194">
    <cfRule type="cellIs" dxfId="825" priority="455" operator="lessThan">
      <formula>59</formula>
    </cfRule>
    <cfRule type="cellIs" dxfId="824" priority="456" operator="greaterThan">
      <formula>60</formula>
    </cfRule>
  </conditionalFormatting>
  <conditionalFormatting sqref="L194:M194">
    <cfRule type="cellIs" dxfId="823" priority="453" operator="lessThan">
      <formula>59</formula>
    </cfRule>
    <cfRule type="cellIs" dxfId="822" priority="454" operator="greaterThan">
      <formula>60</formula>
    </cfRule>
  </conditionalFormatting>
  <conditionalFormatting sqref="L194:M194">
    <cfRule type="cellIs" dxfId="821" priority="451" operator="lessThan">
      <formula>59</formula>
    </cfRule>
    <cfRule type="cellIs" dxfId="820" priority="452" operator="greaterThan">
      <formula>60</formula>
    </cfRule>
  </conditionalFormatting>
  <conditionalFormatting sqref="L194:M194">
    <cfRule type="cellIs" dxfId="819" priority="449" operator="lessThan">
      <formula>59</formula>
    </cfRule>
    <cfRule type="cellIs" dxfId="818" priority="450" operator="greaterThan">
      <formula>60</formula>
    </cfRule>
  </conditionalFormatting>
  <conditionalFormatting sqref="L194:M194">
    <cfRule type="cellIs" dxfId="817" priority="447" operator="lessThan">
      <formula>59</formula>
    </cfRule>
    <cfRule type="cellIs" dxfId="816" priority="448" operator="greaterThan">
      <formula>60</formula>
    </cfRule>
  </conditionalFormatting>
  <conditionalFormatting sqref="L194:M194">
    <cfRule type="cellIs" dxfId="815" priority="445" operator="lessThan">
      <formula>59</formula>
    </cfRule>
    <cfRule type="cellIs" dxfId="814" priority="446" operator="greaterThan">
      <formula>60</formula>
    </cfRule>
  </conditionalFormatting>
  <conditionalFormatting sqref="L194:M194">
    <cfRule type="cellIs" dxfId="813" priority="443" operator="lessThan">
      <formula>59</formula>
    </cfRule>
    <cfRule type="cellIs" dxfId="812" priority="444" operator="greaterThan">
      <formula>60</formula>
    </cfRule>
  </conditionalFormatting>
  <conditionalFormatting sqref="L192:M192">
    <cfRule type="cellIs" dxfId="811" priority="441" operator="lessThan">
      <formula>59</formula>
    </cfRule>
    <cfRule type="cellIs" dxfId="810" priority="442" operator="greaterThan">
      <formula>60</formula>
    </cfRule>
  </conditionalFormatting>
  <conditionalFormatting sqref="L192:M192">
    <cfRule type="cellIs" dxfId="809" priority="439" operator="lessThan">
      <formula>59</formula>
    </cfRule>
    <cfRule type="cellIs" dxfId="808" priority="440" operator="greaterThan">
      <formula>60</formula>
    </cfRule>
  </conditionalFormatting>
  <conditionalFormatting sqref="L192:M192">
    <cfRule type="cellIs" dxfId="807" priority="437" operator="lessThan">
      <formula>59</formula>
    </cfRule>
    <cfRule type="cellIs" dxfId="806" priority="438" operator="greaterThan">
      <formula>60</formula>
    </cfRule>
  </conditionalFormatting>
  <conditionalFormatting sqref="L192:M192">
    <cfRule type="cellIs" dxfId="805" priority="435" operator="lessThan">
      <formula>59</formula>
    </cfRule>
    <cfRule type="cellIs" dxfId="804" priority="436" operator="greaterThan">
      <formula>60</formula>
    </cfRule>
  </conditionalFormatting>
  <conditionalFormatting sqref="L192:M192">
    <cfRule type="cellIs" dxfId="803" priority="433" operator="lessThan">
      <formula>59</formula>
    </cfRule>
    <cfRule type="cellIs" dxfId="802" priority="434" operator="greaterThan">
      <formula>60</formula>
    </cfRule>
  </conditionalFormatting>
  <conditionalFormatting sqref="L192:M192">
    <cfRule type="cellIs" dxfId="801" priority="431" operator="lessThan">
      <formula>59</formula>
    </cfRule>
    <cfRule type="cellIs" dxfId="800" priority="432" operator="greaterThan">
      <formula>60</formula>
    </cfRule>
  </conditionalFormatting>
  <conditionalFormatting sqref="L192:M192">
    <cfRule type="cellIs" dxfId="799" priority="429" operator="lessThan">
      <formula>59</formula>
    </cfRule>
    <cfRule type="cellIs" dxfId="798" priority="430" operator="greaterThan">
      <formula>60</formula>
    </cfRule>
  </conditionalFormatting>
  <conditionalFormatting sqref="L192:M192">
    <cfRule type="cellIs" dxfId="797" priority="427" operator="lessThan">
      <formula>59</formula>
    </cfRule>
    <cfRule type="cellIs" dxfId="796" priority="428" operator="greaterThan">
      <formula>60</formula>
    </cfRule>
  </conditionalFormatting>
  <conditionalFormatting sqref="L192:M192">
    <cfRule type="cellIs" dxfId="795" priority="426" operator="greaterThan">
      <formula>60</formula>
    </cfRule>
  </conditionalFormatting>
  <conditionalFormatting sqref="L192:M192">
    <cfRule type="cellIs" dxfId="794" priority="423" stopIfTrue="1" operator="between">
      <formula>150</formula>
      <formula>170</formula>
    </cfRule>
    <cfRule type="cellIs" dxfId="793" priority="424" stopIfTrue="1" operator="lessThan">
      <formula>150</formula>
    </cfRule>
    <cfRule type="cellIs" dxfId="792" priority="425" stopIfTrue="1" operator="greaterThan">
      <formula>170</formula>
    </cfRule>
  </conditionalFormatting>
  <conditionalFormatting sqref="L192:M192">
    <cfRule type="cellIs" dxfId="791" priority="421" operator="lessThan">
      <formula>59</formula>
    </cfRule>
    <cfRule type="cellIs" dxfId="790" priority="422" operator="greaterThan">
      <formula>60</formula>
    </cfRule>
  </conditionalFormatting>
  <conditionalFormatting sqref="L192:M192">
    <cfRule type="cellIs" dxfId="789" priority="420" operator="greaterThan">
      <formula>60</formula>
    </cfRule>
  </conditionalFormatting>
  <conditionalFormatting sqref="L192:M192">
    <cfRule type="cellIs" dxfId="788" priority="417" stopIfTrue="1" operator="between">
      <formula>150</formula>
      <formula>170</formula>
    </cfRule>
    <cfRule type="cellIs" dxfId="787" priority="418" stopIfTrue="1" operator="lessThan">
      <formula>150</formula>
    </cfRule>
    <cfRule type="cellIs" dxfId="786" priority="419" stopIfTrue="1" operator="greaterThan">
      <formula>170</formula>
    </cfRule>
  </conditionalFormatting>
  <conditionalFormatting sqref="L192:M192">
    <cfRule type="cellIs" dxfId="785" priority="415" operator="lessThan">
      <formula>59</formula>
    </cfRule>
    <cfRule type="cellIs" dxfId="784" priority="416" operator="greaterThan">
      <formula>60</formula>
    </cfRule>
  </conditionalFormatting>
  <conditionalFormatting sqref="L192:M192">
    <cfRule type="cellIs" dxfId="783" priority="414" operator="greaterThan">
      <formula>60</formula>
    </cfRule>
  </conditionalFormatting>
  <conditionalFormatting sqref="L192:M192">
    <cfRule type="cellIs" dxfId="782" priority="411" stopIfTrue="1" operator="between">
      <formula>150</formula>
      <formula>170</formula>
    </cfRule>
    <cfRule type="cellIs" dxfId="781" priority="412" stopIfTrue="1" operator="lessThan">
      <formula>150</formula>
    </cfRule>
    <cfRule type="cellIs" dxfId="780" priority="413" stopIfTrue="1" operator="greaterThan">
      <formula>170</formula>
    </cfRule>
  </conditionalFormatting>
  <conditionalFormatting sqref="L192:M192">
    <cfRule type="cellIs" dxfId="779" priority="409" operator="lessThan">
      <formula>59</formula>
    </cfRule>
    <cfRule type="cellIs" dxfId="778" priority="410" operator="greaterThan">
      <formula>60</formula>
    </cfRule>
  </conditionalFormatting>
  <conditionalFormatting sqref="L192:M192">
    <cfRule type="cellIs" dxfId="777" priority="408" operator="greaterThan">
      <formula>60</formula>
    </cfRule>
  </conditionalFormatting>
  <conditionalFormatting sqref="L192:M192">
    <cfRule type="cellIs" dxfId="776" priority="406" operator="lessThan">
      <formula>59</formula>
    </cfRule>
    <cfRule type="cellIs" dxfId="775" priority="407" operator="greaterThan">
      <formula>60</formula>
    </cfRule>
  </conditionalFormatting>
  <conditionalFormatting sqref="L192:M192">
    <cfRule type="cellIs" dxfId="774" priority="405" operator="greaterThan">
      <formula>60</formula>
    </cfRule>
  </conditionalFormatting>
  <conditionalFormatting sqref="L192:M192">
    <cfRule type="cellIs" dxfId="773" priority="403" operator="lessThan">
      <formula>59</formula>
    </cfRule>
    <cfRule type="cellIs" dxfId="772" priority="404" operator="greaterThan">
      <formula>60</formula>
    </cfRule>
  </conditionalFormatting>
  <conditionalFormatting sqref="L192:M192">
    <cfRule type="cellIs" dxfId="771" priority="402" operator="greaterThan">
      <formula>60</formula>
    </cfRule>
  </conditionalFormatting>
  <conditionalFormatting sqref="L192:M192">
    <cfRule type="cellIs" dxfId="770" priority="399" stopIfTrue="1" operator="between">
      <formula>150</formula>
      <formula>170</formula>
    </cfRule>
    <cfRule type="cellIs" dxfId="769" priority="400" stopIfTrue="1" operator="lessThan">
      <formula>150</formula>
    </cfRule>
    <cfRule type="cellIs" dxfId="768" priority="401" stopIfTrue="1" operator="greaterThan">
      <formula>170</formula>
    </cfRule>
  </conditionalFormatting>
  <conditionalFormatting sqref="L192:M192">
    <cfRule type="cellIs" dxfId="767" priority="397" operator="lessThan">
      <formula>59</formula>
    </cfRule>
    <cfRule type="cellIs" dxfId="766" priority="398" operator="greaterThan">
      <formula>60</formula>
    </cfRule>
  </conditionalFormatting>
  <conditionalFormatting sqref="L192:M192">
    <cfRule type="cellIs" dxfId="765" priority="396" operator="greaterThan">
      <formula>60</formula>
    </cfRule>
  </conditionalFormatting>
  <conditionalFormatting sqref="L192:M192">
    <cfRule type="cellIs" dxfId="764" priority="394" operator="lessThan">
      <formula>59</formula>
    </cfRule>
    <cfRule type="cellIs" dxfId="763" priority="395" operator="greaterThan">
      <formula>60</formula>
    </cfRule>
  </conditionalFormatting>
  <conditionalFormatting sqref="L192:M192">
    <cfRule type="cellIs" dxfId="762" priority="393" operator="greaterThan">
      <formula>60</formula>
    </cfRule>
  </conditionalFormatting>
  <conditionalFormatting sqref="L192:M192">
    <cfRule type="cellIs" dxfId="761" priority="390" stopIfTrue="1" operator="between">
      <formula>150</formula>
      <formula>170</formula>
    </cfRule>
    <cfRule type="cellIs" dxfId="760" priority="391" stopIfTrue="1" operator="lessThan">
      <formula>150</formula>
    </cfRule>
    <cfRule type="cellIs" dxfId="759" priority="392" stopIfTrue="1" operator="greaterThan">
      <formula>170</formula>
    </cfRule>
  </conditionalFormatting>
  <conditionalFormatting sqref="L192:M192">
    <cfRule type="cellIs" dxfId="758" priority="388" operator="lessThan">
      <formula>59</formula>
    </cfRule>
    <cfRule type="cellIs" dxfId="757" priority="389" operator="greaterThan">
      <formula>60</formula>
    </cfRule>
  </conditionalFormatting>
  <conditionalFormatting sqref="L192:M192">
    <cfRule type="cellIs" dxfId="756" priority="387" operator="greaterThan">
      <formula>60</formula>
    </cfRule>
  </conditionalFormatting>
  <conditionalFormatting sqref="L192:M192">
    <cfRule type="cellIs" dxfId="755" priority="385" operator="lessThan">
      <formula>59</formula>
    </cfRule>
    <cfRule type="cellIs" dxfId="754" priority="386" operator="greaterThan">
      <formula>60</formula>
    </cfRule>
  </conditionalFormatting>
  <conditionalFormatting sqref="L192:M192">
    <cfRule type="cellIs" dxfId="753" priority="384" operator="greaterThan">
      <formula>60</formula>
    </cfRule>
  </conditionalFormatting>
  <conditionalFormatting sqref="L192:M192">
    <cfRule type="cellIs" dxfId="752" priority="381" stopIfTrue="1" operator="between">
      <formula>150</formula>
      <formula>170</formula>
    </cfRule>
    <cfRule type="cellIs" dxfId="751" priority="382" stopIfTrue="1" operator="lessThan">
      <formula>150</formula>
    </cfRule>
    <cfRule type="cellIs" dxfId="750" priority="383" stopIfTrue="1" operator="greaterThan">
      <formula>170</formula>
    </cfRule>
  </conditionalFormatting>
  <conditionalFormatting sqref="L192:M192">
    <cfRule type="cellIs" dxfId="749" priority="379" operator="lessThan">
      <formula>59</formula>
    </cfRule>
    <cfRule type="cellIs" dxfId="748" priority="380" operator="greaterThan">
      <formula>60</formula>
    </cfRule>
  </conditionalFormatting>
  <conditionalFormatting sqref="L192:M192">
    <cfRule type="cellIs" dxfId="747" priority="378" operator="greaterThan">
      <formula>60</formula>
    </cfRule>
  </conditionalFormatting>
  <conditionalFormatting sqref="L192:M192">
    <cfRule type="cellIs" dxfId="746" priority="376" operator="lessThan">
      <formula>59</formula>
    </cfRule>
    <cfRule type="cellIs" dxfId="745" priority="377" operator="greaterThan">
      <formula>60</formula>
    </cfRule>
  </conditionalFormatting>
  <conditionalFormatting sqref="L192:M192">
    <cfRule type="cellIs" dxfId="744" priority="375" operator="greaterThan">
      <formula>60</formula>
    </cfRule>
  </conditionalFormatting>
  <conditionalFormatting sqref="L192:M192">
    <cfRule type="cellIs" dxfId="743" priority="372" stopIfTrue="1" operator="between">
      <formula>150</formula>
      <formula>170</formula>
    </cfRule>
    <cfRule type="cellIs" dxfId="742" priority="373" stopIfTrue="1" operator="lessThan">
      <formula>150</formula>
    </cfRule>
    <cfRule type="cellIs" dxfId="741" priority="374" stopIfTrue="1" operator="greaterThan">
      <formula>170</formula>
    </cfRule>
  </conditionalFormatting>
  <conditionalFormatting sqref="L192:M192">
    <cfRule type="cellIs" dxfId="740" priority="370" operator="lessThan">
      <formula>59</formula>
    </cfRule>
    <cfRule type="cellIs" dxfId="739" priority="371" operator="greaterThan">
      <formula>60</formula>
    </cfRule>
  </conditionalFormatting>
  <conditionalFormatting sqref="L192:M192">
    <cfRule type="cellIs" dxfId="738" priority="369" operator="greaterThan">
      <formula>60</formula>
    </cfRule>
  </conditionalFormatting>
  <conditionalFormatting sqref="L192:M192">
    <cfRule type="cellIs" dxfId="737" priority="367" operator="lessThan">
      <formula>59</formula>
    </cfRule>
    <cfRule type="cellIs" dxfId="736" priority="368" operator="greaterThan">
      <formula>60</formula>
    </cfRule>
  </conditionalFormatting>
  <conditionalFormatting sqref="L192:M192">
    <cfRule type="cellIs" dxfId="735" priority="366" operator="greaterThan">
      <formula>60</formula>
    </cfRule>
  </conditionalFormatting>
  <conditionalFormatting sqref="L192:M192">
    <cfRule type="cellIs" dxfId="734" priority="363" stopIfTrue="1" operator="between">
      <formula>150</formula>
      <formula>170</formula>
    </cfRule>
    <cfRule type="cellIs" dxfId="733" priority="364" stopIfTrue="1" operator="lessThan">
      <formula>150</formula>
    </cfRule>
    <cfRule type="cellIs" dxfId="732" priority="365" stopIfTrue="1" operator="greaterThan">
      <formula>170</formula>
    </cfRule>
  </conditionalFormatting>
  <conditionalFormatting sqref="L192:M192">
    <cfRule type="cellIs" dxfId="731" priority="361" operator="lessThan">
      <formula>59</formula>
    </cfRule>
    <cfRule type="cellIs" dxfId="730" priority="362" operator="greaterThan">
      <formula>60</formula>
    </cfRule>
  </conditionalFormatting>
  <conditionalFormatting sqref="L148:M150 L160:M160 L152:M154 L156:M158 L140:M142 L131:M132 L134:M135 L137:M138 L128:M129 L100:M101 L103:M104 L114:M115 L125:M126 L92:M93 L86:M87 L68:M69 L71:M72 L74:M75 L77:M80 L82:M84 L117:M119 L95:M98 L106:M108 L110:M112 L144:M146 L121:M123 L89:M90 L54:M55 L57:M59 L61:M63 L47:M49 L51:M52 L6:M6 L9:M9 L12:M13 L18:M21 L23:M26 L28:M30 L32:M34 L36:M37 L39:M42 L65:M66 L15:M16 L44:M45">
    <cfRule type="cellIs" dxfId="725" priority="359" operator="lessThan">
      <formula>59</formula>
    </cfRule>
    <cfRule type="cellIs" dxfId="724" priority="360" operator="greaterThan">
      <formula>60</formula>
    </cfRule>
  </conditionalFormatting>
  <conditionalFormatting sqref="L148:M150 L160:M160 L152:M154 L156:M158 L140:M142 L131:M132 L134:M135 L137:M138 L128:M129 L100:M101 L103:M104 L114:M115 L125:M126 L92:M93 L86:M87 L68:M69 L71:M72 L74:M75 L77:M80 L82:M84 L117:M119 L95:M98 L106:M108 L110:M112 L144:M146 L121:M123 L89:M90 L54:M55 L57:M59 L61:M63 L47:M49 L51:M52 L1:M1 L3:M3 L5:M9 L11:M13 L18:M21 L23:M26 L28:M30 L32:M34 L36:M37 L39:M42 L65:M66 L15:M16 L44:M45">
    <cfRule type="cellIs" dxfId="721" priority="358" operator="greaterThan">
      <formula>60</formula>
    </cfRule>
  </conditionalFormatting>
  <conditionalFormatting sqref="L148:M150 L160:M160 L152:M154 L156:M158 L140:M142 L131:M132 L134:M135 L137:M138 L128:M129 L100:M101 L103:M104 L114:M115 L125:M126 L92:M93 L86:M87 L68:M69 L71:M72 L74:M75 L77:M80 L82:M84 L117:M119 L95:M98 L106:M108 L110:M112 L144:M146 L121:M123 L89:M90 L54:M55 L57:M59 L61:M63 L47:M49 L51:M52 L8:M9 L11:M13 L18:M21 L23:M26 L28:M30 L32:M34 L36:M37 L39:M42 L65:M66 L15:M16 L44:M45">
    <cfRule type="cellIs" dxfId="719" priority="355" stopIfTrue="1" operator="between">
      <formula>150</formula>
      <formula>170</formula>
    </cfRule>
    <cfRule type="cellIs" dxfId="718" priority="356" stopIfTrue="1" operator="lessThan">
      <formula>150</formula>
    </cfRule>
    <cfRule type="cellIs" dxfId="717" priority="357" stopIfTrue="1" operator="greaterThan">
      <formula>170</formula>
    </cfRule>
  </conditionalFormatting>
  <conditionalFormatting sqref="L163:M163 L161:M161">
    <cfRule type="cellIs" dxfId="713" priority="353" operator="lessThan">
      <formula>59</formula>
    </cfRule>
    <cfRule type="cellIs" dxfId="712" priority="354" operator="greaterThan">
      <formula>60</formula>
    </cfRule>
  </conditionalFormatting>
  <conditionalFormatting sqref="L163:M163 L161:M161">
    <cfRule type="cellIs" dxfId="709" priority="352" operator="greaterThan">
      <formula>60</formula>
    </cfRule>
  </conditionalFormatting>
  <conditionalFormatting sqref="L163:M163 L161:M161">
    <cfRule type="cellIs" dxfId="707" priority="349" stopIfTrue="1" operator="between">
      <formula>150</formula>
      <formula>170</formula>
    </cfRule>
    <cfRule type="cellIs" dxfId="706" priority="350" stopIfTrue="1" operator="lessThan">
      <formula>150</formula>
    </cfRule>
    <cfRule type="cellIs" dxfId="705" priority="351" stopIfTrue="1" operator="greaterThan">
      <formula>170</formula>
    </cfRule>
  </conditionalFormatting>
  <conditionalFormatting sqref="L164:M166">
    <cfRule type="cellIs" dxfId="701" priority="347" operator="lessThan">
      <formula>59</formula>
    </cfRule>
    <cfRule type="cellIs" dxfId="700" priority="348" operator="greaterThan">
      <formula>60</formula>
    </cfRule>
  </conditionalFormatting>
  <conditionalFormatting sqref="L164:M166">
    <cfRule type="cellIs" dxfId="697" priority="346" operator="greaterThan">
      <formula>60</formula>
    </cfRule>
  </conditionalFormatting>
  <conditionalFormatting sqref="L164:M166">
    <cfRule type="cellIs" dxfId="695" priority="343" stopIfTrue="1" operator="between">
      <formula>150</formula>
      <formula>170</formula>
    </cfRule>
    <cfRule type="cellIs" dxfId="694" priority="344" stopIfTrue="1" operator="lessThan">
      <formula>150</formula>
    </cfRule>
    <cfRule type="cellIs" dxfId="693" priority="345" stopIfTrue="1" operator="greaterThan">
      <formula>170</formula>
    </cfRule>
  </conditionalFormatting>
  <conditionalFormatting sqref="L169:M169 L167:M167">
    <cfRule type="cellIs" dxfId="689" priority="341" operator="lessThan">
      <formula>59</formula>
    </cfRule>
    <cfRule type="cellIs" dxfId="688" priority="342" operator="greaterThan">
      <formula>60</formula>
    </cfRule>
  </conditionalFormatting>
  <conditionalFormatting sqref="L169:M169 L167:M167">
    <cfRule type="cellIs" dxfId="685" priority="340" operator="greaterThan">
      <formula>60</formula>
    </cfRule>
  </conditionalFormatting>
  <conditionalFormatting sqref="L169:M169 L167:M167">
    <cfRule type="cellIs" dxfId="683" priority="337" stopIfTrue="1" operator="between">
      <formula>150</formula>
      <formula>170</formula>
    </cfRule>
    <cfRule type="cellIs" dxfId="682" priority="338" stopIfTrue="1" operator="lessThan">
      <formula>150</formula>
    </cfRule>
    <cfRule type="cellIs" dxfId="681" priority="339" stopIfTrue="1" operator="greaterThan">
      <formula>170</formula>
    </cfRule>
  </conditionalFormatting>
  <conditionalFormatting sqref="L170:M170 L172:M172">
    <cfRule type="cellIs" dxfId="677" priority="335" operator="lessThan">
      <formula>59</formula>
    </cfRule>
    <cfRule type="cellIs" dxfId="676" priority="336" operator="greaterThan">
      <formula>60</formula>
    </cfRule>
  </conditionalFormatting>
  <conditionalFormatting sqref="L170:M170 L172:M172">
    <cfRule type="cellIs" dxfId="673" priority="334" operator="greaterThan">
      <formula>60</formula>
    </cfRule>
  </conditionalFormatting>
  <conditionalFormatting sqref="L170:M170 L172:M172">
    <cfRule type="cellIs" dxfId="671" priority="331" stopIfTrue="1" operator="between">
      <formula>150</formula>
      <formula>170</formula>
    </cfRule>
    <cfRule type="cellIs" dxfId="670" priority="332" stopIfTrue="1" operator="lessThan">
      <formula>150</formula>
    </cfRule>
    <cfRule type="cellIs" dxfId="669" priority="333" stopIfTrue="1" operator="greaterThan">
      <formula>170</formula>
    </cfRule>
  </conditionalFormatting>
  <conditionalFormatting sqref="L173:M173 L175:M175">
    <cfRule type="cellIs" dxfId="665" priority="329" operator="lessThan">
      <formula>59</formula>
    </cfRule>
    <cfRule type="cellIs" dxfId="664" priority="330" operator="greaterThan">
      <formula>60</formula>
    </cfRule>
  </conditionalFormatting>
  <conditionalFormatting sqref="L173:M173 L175:M175">
    <cfRule type="cellIs" dxfId="661" priority="328" operator="greaterThan">
      <formula>60</formula>
    </cfRule>
  </conditionalFormatting>
  <conditionalFormatting sqref="L173:M173 L175:M175">
    <cfRule type="cellIs" dxfId="659" priority="325" stopIfTrue="1" operator="between">
      <formula>150</formula>
      <formula>170</formula>
    </cfRule>
    <cfRule type="cellIs" dxfId="658" priority="326" stopIfTrue="1" operator="lessThan">
      <formula>150</formula>
    </cfRule>
    <cfRule type="cellIs" dxfId="657" priority="327" stopIfTrue="1" operator="greaterThan">
      <formula>170</formula>
    </cfRule>
  </conditionalFormatting>
  <conditionalFormatting sqref="L176:M176 L178:M178">
    <cfRule type="cellIs" dxfId="653" priority="323" operator="lessThan">
      <formula>59</formula>
    </cfRule>
    <cfRule type="cellIs" dxfId="652" priority="324" operator="greaterThan">
      <formula>60</formula>
    </cfRule>
  </conditionalFormatting>
  <conditionalFormatting sqref="L176:M176 L178:M178">
    <cfRule type="cellIs" dxfId="649" priority="322" operator="greaterThan">
      <formula>60</formula>
    </cfRule>
  </conditionalFormatting>
  <conditionalFormatting sqref="L176:M176 L178:M178">
    <cfRule type="cellIs" dxfId="647" priority="319" stopIfTrue="1" operator="between">
      <formula>150</formula>
      <formula>170</formula>
    </cfRule>
    <cfRule type="cellIs" dxfId="646" priority="320" stopIfTrue="1" operator="lessThan">
      <formula>150</formula>
    </cfRule>
    <cfRule type="cellIs" dxfId="645" priority="321" stopIfTrue="1" operator="greaterThan">
      <formula>170</formula>
    </cfRule>
  </conditionalFormatting>
  <conditionalFormatting sqref="L179:M179 L181:M181">
    <cfRule type="cellIs" dxfId="641" priority="317" operator="lessThan">
      <formula>59</formula>
    </cfRule>
    <cfRule type="cellIs" dxfId="640" priority="318" operator="greaterThan">
      <formula>60</formula>
    </cfRule>
  </conditionalFormatting>
  <conditionalFormatting sqref="L179:M179 L181:M181">
    <cfRule type="cellIs" dxfId="637" priority="316" operator="greaterThan">
      <formula>60</formula>
    </cfRule>
  </conditionalFormatting>
  <conditionalFormatting sqref="L179:M179 L181:M181">
    <cfRule type="cellIs" dxfId="635" priority="313" stopIfTrue="1" operator="between">
      <formula>150</formula>
      <formula>170</formula>
    </cfRule>
    <cfRule type="cellIs" dxfId="634" priority="314" stopIfTrue="1" operator="lessThan">
      <formula>150</formula>
    </cfRule>
    <cfRule type="cellIs" dxfId="633" priority="315" stopIfTrue="1" operator="greaterThan">
      <formula>170</formula>
    </cfRule>
  </conditionalFormatting>
  <conditionalFormatting sqref="L182:M182 L184:M184">
    <cfRule type="cellIs" dxfId="629" priority="311" operator="lessThan">
      <formula>59</formula>
    </cfRule>
    <cfRule type="cellIs" dxfId="628" priority="312" operator="greaterThan">
      <formula>60</formula>
    </cfRule>
  </conditionalFormatting>
  <conditionalFormatting sqref="L182:M182 L184:M184">
    <cfRule type="cellIs" dxfId="625" priority="310" operator="greaterThan">
      <formula>60</formula>
    </cfRule>
  </conditionalFormatting>
  <conditionalFormatting sqref="L182:M182 L184:M184">
    <cfRule type="cellIs" dxfId="623" priority="307" stopIfTrue="1" operator="between">
      <formula>150</formula>
      <formula>170</formula>
    </cfRule>
    <cfRule type="cellIs" dxfId="622" priority="308" stopIfTrue="1" operator="lessThan">
      <formula>150</formula>
    </cfRule>
    <cfRule type="cellIs" dxfId="621" priority="309" stopIfTrue="1" operator="greaterThan">
      <formula>170</formula>
    </cfRule>
  </conditionalFormatting>
  <conditionalFormatting sqref="L185:M185 L187:M187">
    <cfRule type="cellIs" dxfId="617" priority="305" operator="lessThan">
      <formula>59</formula>
    </cfRule>
    <cfRule type="cellIs" dxfId="616" priority="306" operator="greaterThan">
      <formula>60</formula>
    </cfRule>
  </conditionalFormatting>
  <conditionalFormatting sqref="L185:M185 L187:M187">
    <cfRule type="cellIs" dxfId="613" priority="304" operator="greaterThan">
      <formula>60</formula>
    </cfRule>
  </conditionalFormatting>
  <conditionalFormatting sqref="L185:M185 L187:M187">
    <cfRule type="cellIs" dxfId="611" priority="301" stopIfTrue="1" operator="between">
      <formula>150</formula>
      <formula>170</formula>
    </cfRule>
    <cfRule type="cellIs" dxfId="610" priority="302" stopIfTrue="1" operator="lessThan">
      <formula>150</formula>
    </cfRule>
    <cfRule type="cellIs" dxfId="609" priority="303" stopIfTrue="1" operator="greaterThan">
      <formula>170</formula>
    </cfRule>
  </conditionalFormatting>
  <conditionalFormatting sqref="L190:M190 L188:M188">
    <cfRule type="cellIs" dxfId="605" priority="299" operator="lessThan">
      <formula>59</formula>
    </cfRule>
    <cfRule type="cellIs" dxfId="604" priority="300" operator="greaterThan">
      <formula>60</formula>
    </cfRule>
  </conditionalFormatting>
  <conditionalFormatting sqref="L190:M190 L188:M188">
    <cfRule type="cellIs" dxfId="601" priority="298" operator="greaterThan">
      <formula>60</formula>
    </cfRule>
  </conditionalFormatting>
  <conditionalFormatting sqref="L190:M190 L188:M188">
    <cfRule type="cellIs" dxfId="599" priority="295" stopIfTrue="1" operator="between">
      <formula>150</formula>
      <formula>170</formula>
    </cfRule>
    <cfRule type="cellIs" dxfId="598" priority="296" stopIfTrue="1" operator="lessThan">
      <formula>150</formula>
    </cfRule>
    <cfRule type="cellIs" dxfId="597" priority="297" stopIfTrue="1" operator="greaterThan">
      <formula>170</formula>
    </cfRule>
  </conditionalFormatting>
  <conditionalFormatting sqref="L193:M193 L191:M191">
    <cfRule type="cellIs" dxfId="593" priority="294" operator="greaterThan">
      <formula>60</formula>
    </cfRule>
  </conditionalFormatting>
  <conditionalFormatting sqref="L193:M193 L191:M191">
    <cfRule type="cellIs" dxfId="591" priority="291" stopIfTrue="1" operator="between">
      <formula>150</formula>
      <formula>170</formula>
    </cfRule>
    <cfRule type="cellIs" dxfId="590" priority="292" stopIfTrue="1" operator="lessThan">
      <formula>150</formula>
    </cfRule>
    <cfRule type="cellIs" dxfId="589" priority="293" stopIfTrue="1" operator="greaterThan">
      <formula>170</formula>
    </cfRule>
  </conditionalFormatting>
  <conditionalFormatting sqref="L191:M191">
    <cfRule type="cellIs" dxfId="585" priority="289" operator="lessThan">
      <formula>59</formula>
    </cfRule>
    <cfRule type="cellIs" dxfId="584" priority="290" operator="greaterThan">
      <formula>60</formula>
    </cfRule>
  </conditionalFormatting>
  <conditionalFormatting sqref="L191:M191">
    <cfRule type="cellIs" dxfId="581" priority="287" operator="lessThan">
      <formula>59</formula>
    </cfRule>
    <cfRule type="cellIs" dxfId="580" priority="288" operator="greaterThan">
      <formula>60</formula>
    </cfRule>
  </conditionalFormatting>
  <conditionalFormatting sqref="L191:M191">
    <cfRule type="cellIs" dxfId="577" priority="285" operator="lessThan">
      <formula>59</formula>
    </cfRule>
    <cfRule type="cellIs" dxfId="576" priority="286" operator="greaterThan">
      <formula>60</formula>
    </cfRule>
  </conditionalFormatting>
  <conditionalFormatting sqref="L191:M191">
    <cfRule type="cellIs" dxfId="573" priority="283" operator="lessThan">
      <formula>59</formula>
    </cfRule>
    <cfRule type="cellIs" dxfId="572" priority="284" operator="greaterThan">
      <formula>60</formula>
    </cfRule>
  </conditionalFormatting>
  <conditionalFormatting sqref="L193:M193">
    <cfRule type="cellIs" dxfId="569" priority="281" operator="lessThan">
      <formula>59</formula>
    </cfRule>
    <cfRule type="cellIs" dxfId="568" priority="282" operator="greaterThan">
      <formula>60</formula>
    </cfRule>
  </conditionalFormatting>
  <conditionalFormatting sqref="L191:M191">
    <cfRule type="cellIs" dxfId="565" priority="279" operator="lessThan">
      <formula>59</formula>
    </cfRule>
    <cfRule type="cellIs" dxfId="564" priority="280" operator="greaterThan">
      <formula>60</formula>
    </cfRule>
  </conditionalFormatting>
  <conditionalFormatting sqref="L193:M193">
    <cfRule type="cellIs" dxfId="561" priority="277" operator="lessThan">
      <formula>59</formula>
    </cfRule>
    <cfRule type="cellIs" dxfId="560" priority="278" operator="greaterThan">
      <formula>60</formula>
    </cfRule>
  </conditionalFormatting>
  <conditionalFormatting sqref="L193:M193">
    <cfRule type="cellIs" dxfId="557" priority="275" operator="lessThan">
      <formula>59</formula>
    </cfRule>
    <cfRule type="cellIs" dxfId="556" priority="276" operator="greaterThan">
      <formula>60</formula>
    </cfRule>
  </conditionalFormatting>
  <conditionalFormatting sqref="L193:M193">
    <cfRule type="cellIs" dxfId="553" priority="273" operator="lessThan">
      <formula>59</formula>
    </cfRule>
    <cfRule type="cellIs" dxfId="552" priority="274" operator="greaterThan">
      <formula>60</formula>
    </cfRule>
  </conditionalFormatting>
  <conditionalFormatting sqref="L193:M193">
    <cfRule type="cellIs" dxfId="549" priority="271" operator="lessThan">
      <formula>59</formula>
    </cfRule>
    <cfRule type="cellIs" dxfId="548" priority="272" operator="greaterThan">
      <formula>60</formula>
    </cfRule>
  </conditionalFormatting>
  <conditionalFormatting sqref="L193:M193">
    <cfRule type="cellIs" dxfId="545" priority="269" operator="lessThan">
      <formula>59</formula>
    </cfRule>
    <cfRule type="cellIs" dxfId="544" priority="270" operator="greaterThan">
      <formula>60</formula>
    </cfRule>
  </conditionalFormatting>
  <conditionalFormatting sqref="L193:M193">
    <cfRule type="cellIs" dxfId="541" priority="267" operator="lessThan">
      <formula>59</formula>
    </cfRule>
    <cfRule type="cellIs" dxfId="540" priority="268" operator="greaterThan">
      <formula>60</formula>
    </cfRule>
  </conditionalFormatting>
  <conditionalFormatting sqref="L193:M193">
    <cfRule type="cellIs" dxfId="537" priority="265" operator="lessThan">
      <formula>59</formula>
    </cfRule>
    <cfRule type="cellIs" dxfId="536" priority="266" operator="greaterThan">
      <formula>60</formula>
    </cfRule>
  </conditionalFormatting>
  <conditionalFormatting sqref="L191:M191">
    <cfRule type="cellIs" dxfId="533" priority="263" operator="lessThan">
      <formula>59</formula>
    </cfRule>
    <cfRule type="cellIs" dxfId="532" priority="264" operator="greaterThan">
      <formula>60</formula>
    </cfRule>
  </conditionalFormatting>
  <conditionalFormatting sqref="L191:M191">
    <cfRule type="cellIs" dxfId="529" priority="261" operator="lessThan">
      <formula>59</formula>
    </cfRule>
    <cfRule type="cellIs" dxfId="528" priority="262" operator="greaterThan">
      <formula>60</formula>
    </cfRule>
  </conditionalFormatting>
  <conditionalFormatting sqref="L191:M191">
    <cfRule type="cellIs" dxfId="525" priority="259" operator="lessThan">
      <formula>59</formula>
    </cfRule>
    <cfRule type="cellIs" dxfId="524" priority="260" operator="greaterThan">
      <formula>60</formula>
    </cfRule>
  </conditionalFormatting>
  <conditionalFormatting sqref="L193:M193">
    <cfRule type="cellIs" dxfId="521" priority="257" operator="lessThan">
      <formula>59</formula>
    </cfRule>
    <cfRule type="cellIs" dxfId="520" priority="258" operator="greaterThan">
      <formula>60</formula>
    </cfRule>
  </conditionalFormatting>
  <conditionalFormatting sqref="L193:M193">
    <cfRule type="cellIs" dxfId="517" priority="255" operator="lessThan">
      <formula>59</formula>
    </cfRule>
    <cfRule type="cellIs" dxfId="516" priority="256" operator="greaterThan">
      <formula>60</formula>
    </cfRule>
  </conditionalFormatting>
  <conditionalFormatting sqref="L193:M193">
    <cfRule type="cellIs" dxfId="513" priority="253" operator="lessThan">
      <formula>59</formula>
    </cfRule>
    <cfRule type="cellIs" dxfId="512" priority="254" operator="greaterThan">
      <formula>60</formula>
    </cfRule>
  </conditionalFormatting>
  <conditionalFormatting sqref="L191:M191">
    <cfRule type="cellIs" dxfId="509" priority="251" operator="lessThan">
      <formula>59</formula>
    </cfRule>
    <cfRule type="cellIs" dxfId="508" priority="252" operator="greaterThan">
      <formula>60</formula>
    </cfRule>
  </conditionalFormatting>
  <conditionalFormatting sqref="L191:M191">
    <cfRule type="cellIs" dxfId="505" priority="249" operator="lessThan">
      <formula>59</formula>
    </cfRule>
    <cfRule type="cellIs" dxfId="504" priority="250" operator="greaterThan">
      <formula>60</formula>
    </cfRule>
  </conditionalFormatting>
  <conditionalFormatting sqref="L193:M193">
    <cfRule type="cellIs" dxfId="501" priority="247" operator="lessThan">
      <formula>59</formula>
    </cfRule>
    <cfRule type="cellIs" dxfId="500" priority="248" operator="greaterThan">
      <formula>60</formula>
    </cfRule>
  </conditionalFormatting>
  <conditionalFormatting sqref="L191:M191">
    <cfRule type="cellIs" dxfId="497" priority="245" operator="lessThan">
      <formula>59</formula>
    </cfRule>
    <cfRule type="cellIs" dxfId="496" priority="246" operator="greaterThan">
      <formula>60</formula>
    </cfRule>
  </conditionalFormatting>
  <conditionalFormatting sqref="L191:M191">
    <cfRule type="cellIs" dxfId="493" priority="243" operator="lessThan">
      <formula>59</formula>
    </cfRule>
    <cfRule type="cellIs" dxfId="492" priority="244" operator="greaterThan">
      <formula>60</formula>
    </cfRule>
  </conditionalFormatting>
  <conditionalFormatting sqref="L191:M191">
    <cfRule type="cellIs" dxfId="489" priority="241" operator="lessThan">
      <formula>59</formula>
    </cfRule>
    <cfRule type="cellIs" dxfId="488" priority="242" operator="greaterThan">
      <formula>60</formula>
    </cfRule>
  </conditionalFormatting>
  <conditionalFormatting sqref="L191:M191">
    <cfRule type="cellIs" dxfId="485" priority="239" operator="lessThan">
      <formula>59</formula>
    </cfRule>
    <cfRule type="cellIs" dxfId="484" priority="240" operator="greaterThan">
      <formula>60</formula>
    </cfRule>
  </conditionalFormatting>
  <conditionalFormatting sqref="L191:M191">
    <cfRule type="cellIs" dxfId="481" priority="237" operator="lessThan">
      <formula>59</formula>
    </cfRule>
    <cfRule type="cellIs" dxfId="480" priority="238" operator="greaterThan">
      <formula>60</formula>
    </cfRule>
  </conditionalFormatting>
  <conditionalFormatting sqref="L191:M191">
    <cfRule type="cellIs" dxfId="477" priority="235" operator="lessThan">
      <formula>59</formula>
    </cfRule>
    <cfRule type="cellIs" dxfId="476" priority="236" operator="greaterThan">
      <formula>60</formula>
    </cfRule>
  </conditionalFormatting>
  <conditionalFormatting sqref="L191:M191">
    <cfRule type="cellIs" dxfId="473" priority="233" operator="lessThan">
      <formula>59</formula>
    </cfRule>
    <cfRule type="cellIs" dxfId="472" priority="234" operator="greaterThan">
      <formula>60</formula>
    </cfRule>
  </conditionalFormatting>
  <conditionalFormatting sqref="L191:M191">
    <cfRule type="cellIs" dxfId="469" priority="231" operator="lessThan">
      <formula>59</formula>
    </cfRule>
    <cfRule type="cellIs" dxfId="468" priority="232" operator="greaterThan">
      <formula>60</formula>
    </cfRule>
  </conditionalFormatting>
  <conditionalFormatting sqref="L191:M191">
    <cfRule type="cellIs" dxfId="465" priority="229" operator="lessThan">
      <formula>59</formula>
    </cfRule>
    <cfRule type="cellIs" dxfId="464" priority="230" operator="greaterThan">
      <formula>60</formula>
    </cfRule>
  </conditionalFormatting>
  <conditionalFormatting sqref="L191:M191">
    <cfRule type="cellIs" dxfId="461" priority="227" operator="lessThan">
      <formula>59</formula>
    </cfRule>
    <cfRule type="cellIs" dxfId="460" priority="228" operator="greaterThan">
      <formula>60</formula>
    </cfRule>
  </conditionalFormatting>
  <conditionalFormatting sqref="L191:M191">
    <cfRule type="cellIs" dxfId="457" priority="225" operator="lessThan">
      <formula>59</formula>
    </cfRule>
    <cfRule type="cellIs" dxfId="456" priority="226" operator="greaterThan">
      <formula>60</formula>
    </cfRule>
  </conditionalFormatting>
  <conditionalFormatting sqref="L191:M191">
    <cfRule type="cellIs" dxfId="453" priority="223" operator="lessThan">
      <formula>59</formula>
    </cfRule>
    <cfRule type="cellIs" dxfId="452" priority="224" operator="greaterThan">
      <formula>60</formula>
    </cfRule>
  </conditionalFormatting>
  <conditionalFormatting sqref="L193:M193">
    <cfRule type="cellIs" dxfId="449" priority="221" operator="lessThan">
      <formula>59</formula>
    </cfRule>
    <cfRule type="cellIs" dxfId="448" priority="222" operator="greaterThan">
      <formula>60</formula>
    </cfRule>
  </conditionalFormatting>
  <conditionalFormatting sqref="L191:M191">
    <cfRule type="cellIs" dxfId="445" priority="219" operator="lessThan">
      <formula>59</formula>
    </cfRule>
    <cfRule type="cellIs" dxfId="444" priority="220" operator="greaterThan">
      <formula>60</formula>
    </cfRule>
  </conditionalFormatting>
  <conditionalFormatting sqref="L193:M193">
    <cfRule type="cellIs" dxfId="441" priority="217" operator="lessThan">
      <formula>59</formula>
    </cfRule>
    <cfRule type="cellIs" dxfId="440" priority="218" operator="greaterThan">
      <formula>60</formula>
    </cfRule>
  </conditionalFormatting>
  <conditionalFormatting sqref="L193:M193">
    <cfRule type="cellIs" dxfId="437" priority="215" operator="lessThan">
      <formula>59</formula>
    </cfRule>
    <cfRule type="cellIs" dxfId="436" priority="216" operator="greaterThan">
      <formula>60</formula>
    </cfRule>
  </conditionalFormatting>
  <conditionalFormatting sqref="L193:M193">
    <cfRule type="cellIs" dxfId="433" priority="213" operator="lessThan">
      <formula>59</formula>
    </cfRule>
    <cfRule type="cellIs" dxfId="432" priority="214" operator="greaterThan">
      <formula>60</formula>
    </cfRule>
  </conditionalFormatting>
  <conditionalFormatting sqref="L193:M193">
    <cfRule type="cellIs" dxfId="429" priority="211" operator="lessThan">
      <formula>59</formula>
    </cfRule>
    <cfRule type="cellIs" dxfId="428" priority="212" operator="greaterThan">
      <formula>60</formula>
    </cfRule>
  </conditionalFormatting>
  <conditionalFormatting sqref="L193:M193">
    <cfRule type="cellIs" dxfId="425" priority="209" operator="lessThan">
      <formula>59</formula>
    </cfRule>
    <cfRule type="cellIs" dxfId="424" priority="210" operator="greaterThan">
      <formula>60</formula>
    </cfRule>
  </conditionalFormatting>
  <conditionalFormatting sqref="L193:M193">
    <cfRule type="cellIs" dxfId="421" priority="207" operator="lessThan">
      <formula>59</formula>
    </cfRule>
    <cfRule type="cellIs" dxfId="420" priority="208" operator="greaterThan">
      <formula>60</formula>
    </cfRule>
  </conditionalFormatting>
  <conditionalFormatting sqref="L193:M193">
    <cfRule type="cellIs" dxfId="417" priority="205" operator="lessThan">
      <formula>59</formula>
    </cfRule>
    <cfRule type="cellIs" dxfId="416" priority="206" operator="greaterThan">
      <formula>60</formula>
    </cfRule>
  </conditionalFormatting>
  <conditionalFormatting sqref="L191:M191">
    <cfRule type="cellIs" dxfId="413" priority="203" operator="lessThan">
      <formula>59</formula>
    </cfRule>
    <cfRule type="cellIs" dxfId="412" priority="204" operator="greaterThan">
      <formula>60</formula>
    </cfRule>
  </conditionalFormatting>
  <conditionalFormatting sqref="L191:M191">
    <cfRule type="cellIs" dxfId="409" priority="201" operator="lessThan">
      <formula>59</formula>
    </cfRule>
    <cfRule type="cellIs" dxfId="408" priority="202" operator="greaterThan">
      <formula>60</formula>
    </cfRule>
  </conditionalFormatting>
  <conditionalFormatting sqref="L191:M191">
    <cfRule type="cellIs" dxfId="405" priority="199" operator="lessThan">
      <formula>59</formula>
    </cfRule>
    <cfRule type="cellIs" dxfId="404" priority="200" operator="greaterThan">
      <formula>60</formula>
    </cfRule>
  </conditionalFormatting>
  <conditionalFormatting sqref="L191:M191">
    <cfRule type="cellIs" dxfId="401" priority="197" operator="lessThan">
      <formula>59</formula>
    </cfRule>
    <cfRule type="cellIs" dxfId="400" priority="198" operator="greaterThan">
      <formula>60</formula>
    </cfRule>
  </conditionalFormatting>
  <conditionalFormatting sqref="L191:M191">
    <cfRule type="cellIs" dxfId="397" priority="195" operator="lessThan">
      <formula>59</formula>
    </cfRule>
    <cfRule type="cellIs" dxfId="396" priority="196" operator="greaterThan">
      <formula>60</formula>
    </cfRule>
  </conditionalFormatting>
  <conditionalFormatting sqref="L191:M191">
    <cfRule type="cellIs" dxfId="393" priority="193" operator="lessThan">
      <formula>59</formula>
    </cfRule>
    <cfRule type="cellIs" dxfId="392" priority="194" operator="greaterThan">
      <formula>60</formula>
    </cfRule>
  </conditionalFormatting>
  <conditionalFormatting sqref="L191:M191">
    <cfRule type="cellIs" dxfId="389" priority="191" operator="lessThan">
      <formula>59</formula>
    </cfRule>
    <cfRule type="cellIs" dxfId="388" priority="192" operator="greaterThan">
      <formula>60</formula>
    </cfRule>
  </conditionalFormatting>
  <conditionalFormatting sqref="L191:M191">
    <cfRule type="cellIs" dxfId="385" priority="189" operator="lessThan">
      <formula>59</formula>
    </cfRule>
    <cfRule type="cellIs" dxfId="384" priority="190" operator="greaterThan">
      <formula>60</formula>
    </cfRule>
  </conditionalFormatting>
  <conditionalFormatting sqref="L193:M193">
    <cfRule type="cellIs" dxfId="381" priority="187" operator="lessThan">
      <formula>59</formula>
    </cfRule>
    <cfRule type="cellIs" dxfId="380" priority="188" operator="greaterThan">
      <formula>60</formula>
    </cfRule>
  </conditionalFormatting>
  <conditionalFormatting sqref="L193:M193">
    <cfRule type="cellIs" dxfId="377" priority="185" operator="lessThan">
      <formula>59</formula>
    </cfRule>
    <cfRule type="cellIs" dxfId="376" priority="186" operator="greaterThan">
      <formula>60</formula>
    </cfRule>
  </conditionalFormatting>
  <conditionalFormatting sqref="L191:M191">
    <cfRule type="cellIs" dxfId="373" priority="183" operator="lessThan">
      <formula>59</formula>
    </cfRule>
    <cfRule type="cellIs" dxfId="372" priority="184" operator="greaterThan">
      <formula>60</formula>
    </cfRule>
  </conditionalFormatting>
  <conditionalFormatting sqref="L191:M191">
    <cfRule type="cellIs" dxfId="369" priority="181" operator="lessThan">
      <formula>59</formula>
    </cfRule>
    <cfRule type="cellIs" dxfId="368" priority="182" operator="greaterThan">
      <formula>60</formula>
    </cfRule>
  </conditionalFormatting>
  <conditionalFormatting sqref="L191:M191">
    <cfRule type="cellIs" dxfId="365" priority="179" operator="lessThan">
      <formula>59</formula>
    </cfRule>
    <cfRule type="cellIs" dxfId="364" priority="180" operator="greaterThan">
      <formula>60</formula>
    </cfRule>
  </conditionalFormatting>
  <conditionalFormatting sqref="L191:M191">
    <cfRule type="cellIs" dxfId="361" priority="177" operator="lessThan">
      <formula>59</formula>
    </cfRule>
    <cfRule type="cellIs" dxfId="360" priority="178" operator="greaterThan">
      <formula>60</formula>
    </cfRule>
  </conditionalFormatting>
  <conditionalFormatting sqref="L193:M193">
    <cfRule type="cellIs" dxfId="357" priority="175" operator="lessThan">
      <formula>59</formula>
    </cfRule>
    <cfRule type="cellIs" dxfId="356" priority="176" operator="greaterThan">
      <formula>60</formula>
    </cfRule>
  </conditionalFormatting>
  <conditionalFormatting sqref="L193:M193">
    <cfRule type="cellIs" dxfId="353" priority="173" operator="lessThan">
      <formula>59</formula>
    </cfRule>
    <cfRule type="cellIs" dxfId="352" priority="174" operator="greaterThan">
      <formula>60</formula>
    </cfRule>
  </conditionalFormatting>
  <conditionalFormatting sqref="L193:M193">
    <cfRule type="cellIs" dxfId="349" priority="171" operator="lessThan">
      <formula>59</formula>
    </cfRule>
    <cfRule type="cellIs" dxfId="348" priority="172" operator="greaterThan">
      <formula>60</formula>
    </cfRule>
  </conditionalFormatting>
  <conditionalFormatting sqref="L193:M193">
    <cfRule type="cellIs" dxfId="345" priority="169" operator="lessThan">
      <formula>59</formula>
    </cfRule>
    <cfRule type="cellIs" dxfId="344" priority="170" operator="greaterThan">
      <formula>60</formula>
    </cfRule>
  </conditionalFormatting>
  <conditionalFormatting sqref="L193:M193">
    <cfRule type="cellIs" dxfId="341" priority="167" operator="lessThan">
      <formula>59</formula>
    </cfRule>
    <cfRule type="cellIs" dxfId="340" priority="168" operator="greaterThan">
      <formula>60</formula>
    </cfRule>
  </conditionalFormatting>
  <conditionalFormatting sqref="L193:M193">
    <cfRule type="cellIs" dxfId="337" priority="165" operator="lessThan">
      <formula>59</formula>
    </cfRule>
    <cfRule type="cellIs" dxfId="336" priority="166" operator="greaterThan">
      <formula>60</formula>
    </cfRule>
  </conditionalFormatting>
  <conditionalFormatting sqref="L193:M193">
    <cfRule type="cellIs" dxfId="333" priority="163" operator="lessThan">
      <formula>59</formula>
    </cfRule>
    <cfRule type="cellIs" dxfId="332" priority="164" operator="greaterThan">
      <formula>60</formula>
    </cfRule>
  </conditionalFormatting>
  <conditionalFormatting sqref="L193:M193">
    <cfRule type="cellIs" dxfId="329" priority="161" operator="lessThan">
      <formula>59</formula>
    </cfRule>
    <cfRule type="cellIs" dxfId="328" priority="162" operator="greaterThan">
      <formula>60</formula>
    </cfRule>
  </conditionalFormatting>
  <conditionalFormatting sqref="L191:M191">
    <cfRule type="cellIs" dxfId="325" priority="159" operator="lessThan">
      <formula>59</formula>
    </cfRule>
    <cfRule type="cellIs" dxfId="324" priority="160" operator="greaterThan">
      <formula>60</formula>
    </cfRule>
  </conditionalFormatting>
  <conditionalFormatting sqref="L191:M191">
    <cfRule type="cellIs" dxfId="321" priority="157" operator="lessThan">
      <formula>59</formula>
    </cfRule>
    <cfRule type="cellIs" dxfId="320" priority="158" operator="greaterThan">
      <formula>60</formula>
    </cfRule>
  </conditionalFormatting>
  <conditionalFormatting sqref="L191:M191">
    <cfRule type="cellIs" dxfId="317" priority="155" operator="lessThan">
      <formula>59</formula>
    </cfRule>
    <cfRule type="cellIs" dxfId="316" priority="156" operator="greaterThan">
      <formula>60</formula>
    </cfRule>
  </conditionalFormatting>
  <conditionalFormatting sqref="L191:M191">
    <cfRule type="cellIs" dxfId="313" priority="153" operator="lessThan">
      <formula>59</formula>
    </cfRule>
    <cfRule type="cellIs" dxfId="312" priority="154" operator="greaterThan">
      <formula>60</formula>
    </cfRule>
  </conditionalFormatting>
  <conditionalFormatting sqref="L191:M191">
    <cfRule type="cellIs" dxfId="309" priority="151" operator="lessThan">
      <formula>59</formula>
    </cfRule>
    <cfRule type="cellIs" dxfId="308" priority="152" operator="greaterThan">
      <formula>60</formula>
    </cfRule>
  </conditionalFormatting>
  <conditionalFormatting sqref="L191:M191">
    <cfRule type="cellIs" dxfId="305" priority="149" operator="lessThan">
      <formula>59</formula>
    </cfRule>
    <cfRule type="cellIs" dxfId="304" priority="150" operator="greaterThan">
      <formula>60</formula>
    </cfRule>
  </conditionalFormatting>
  <conditionalFormatting sqref="L191:M191">
    <cfRule type="cellIs" dxfId="301" priority="147" operator="lessThan">
      <formula>59</formula>
    </cfRule>
    <cfRule type="cellIs" dxfId="300" priority="148" operator="greaterThan">
      <formula>60</formula>
    </cfRule>
  </conditionalFormatting>
  <conditionalFormatting sqref="L191:M191">
    <cfRule type="cellIs" dxfId="297" priority="145" operator="lessThan">
      <formula>59</formula>
    </cfRule>
    <cfRule type="cellIs" dxfId="296" priority="146" operator="greaterThan">
      <formula>60</formula>
    </cfRule>
  </conditionalFormatting>
  <conditionalFormatting sqref="L191:M191">
    <cfRule type="cellIs" dxfId="293" priority="143" operator="lessThan">
      <formula>59</formula>
    </cfRule>
    <cfRule type="cellIs" dxfId="292" priority="144" operator="greaterThan">
      <formula>60</formula>
    </cfRule>
  </conditionalFormatting>
  <conditionalFormatting sqref="L193:M193">
    <cfRule type="cellIs" dxfId="289" priority="141" operator="lessThan">
      <formula>59</formula>
    </cfRule>
    <cfRule type="cellIs" dxfId="288" priority="142" operator="greaterThan">
      <formula>60</formula>
    </cfRule>
  </conditionalFormatting>
  <conditionalFormatting sqref="L193:M193">
    <cfRule type="cellIs" dxfId="285" priority="139" operator="lessThan">
      <formula>59</formula>
    </cfRule>
    <cfRule type="cellIs" dxfId="284" priority="140" operator="greaterThan">
      <formula>60</formula>
    </cfRule>
  </conditionalFormatting>
  <conditionalFormatting sqref="L191:M191">
    <cfRule type="cellIs" dxfId="281" priority="137" operator="lessThan">
      <formula>59</formula>
    </cfRule>
    <cfRule type="cellIs" dxfId="280" priority="138" operator="greaterThan">
      <formula>60</formula>
    </cfRule>
  </conditionalFormatting>
  <conditionalFormatting sqref="L193:M193">
    <cfRule type="cellIs" dxfId="277" priority="135" operator="lessThan">
      <formula>59</formula>
    </cfRule>
    <cfRule type="cellIs" dxfId="276" priority="136" operator="greaterThan">
      <formula>60</formula>
    </cfRule>
  </conditionalFormatting>
  <conditionalFormatting sqref="L193:M193">
    <cfRule type="cellIs" dxfId="273" priority="133" operator="lessThan">
      <formula>59</formula>
    </cfRule>
    <cfRule type="cellIs" dxfId="272" priority="134" operator="greaterThan">
      <formula>60</formula>
    </cfRule>
  </conditionalFormatting>
  <conditionalFormatting sqref="L193:M193">
    <cfRule type="cellIs" dxfId="269" priority="131" operator="lessThan">
      <formula>59</formula>
    </cfRule>
    <cfRule type="cellIs" dxfId="268" priority="132" operator="greaterThan">
      <formula>60</formula>
    </cfRule>
  </conditionalFormatting>
  <conditionalFormatting sqref="L191:M191">
    <cfRule type="cellIs" dxfId="265" priority="129" operator="lessThan">
      <formula>59</formula>
    </cfRule>
    <cfRule type="cellIs" dxfId="264" priority="130" operator="greaterThan">
      <formula>60</formula>
    </cfRule>
  </conditionalFormatting>
  <conditionalFormatting sqref="L191:M191">
    <cfRule type="cellIs" dxfId="261" priority="127" operator="lessThan">
      <formula>59</formula>
    </cfRule>
    <cfRule type="cellIs" dxfId="260" priority="128" operator="greaterThan">
      <formula>60</formula>
    </cfRule>
  </conditionalFormatting>
  <conditionalFormatting sqref="L191:M191">
    <cfRule type="cellIs" dxfId="257" priority="125" operator="lessThan">
      <formula>59</formula>
    </cfRule>
    <cfRule type="cellIs" dxfId="256" priority="126" operator="greaterThan">
      <formula>60</formula>
    </cfRule>
  </conditionalFormatting>
  <conditionalFormatting sqref="L191:M191">
    <cfRule type="cellIs" dxfId="253" priority="123" operator="lessThan">
      <formula>59</formula>
    </cfRule>
    <cfRule type="cellIs" dxfId="252" priority="124" operator="greaterThan">
      <formula>60</formula>
    </cfRule>
  </conditionalFormatting>
  <conditionalFormatting sqref="L191:M191">
    <cfRule type="cellIs" dxfId="249" priority="121" operator="lessThan">
      <formula>59</formula>
    </cfRule>
    <cfRule type="cellIs" dxfId="248" priority="122" operator="greaterThan">
      <formula>60</formula>
    </cfRule>
  </conditionalFormatting>
  <conditionalFormatting sqref="L191:M191">
    <cfRule type="cellIs" dxfId="245" priority="119" operator="lessThan">
      <formula>59</formula>
    </cfRule>
    <cfRule type="cellIs" dxfId="244" priority="120" operator="greaterThan">
      <formula>60</formula>
    </cfRule>
  </conditionalFormatting>
  <conditionalFormatting sqref="L191:M191">
    <cfRule type="cellIs" dxfId="241" priority="117" operator="lessThan">
      <formula>59</formula>
    </cfRule>
    <cfRule type="cellIs" dxfId="240" priority="118" operator="greaterThan">
      <formula>60</formula>
    </cfRule>
  </conditionalFormatting>
  <conditionalFormatting sqref="L191:M191">
    <cfRule type="cellIs" dxfId="237" priority="115" operator="lessThan">
      <formula>59</formula>
    </cfRule>
    <cfRule type="cellIs" dxfId="236" priority="116" operator="greaterThan">
      <formula>60</formula>
    </cfRule>
  </conditionalFormatting>
  <conditionalFormatting sqref="L191:M191">
    <cfRule type="cellIs" dxfId="233" priority="113" operator="lessThan">
      <formula>59</formula>
    </cfRule>
    <cfRule type="cellIs" dxfId="232" priority="114" operator="greaterThan">
      <formula>60</formula>
    </cfRule>
  </conditionalFormatting>
  <conditionalFormatting sqref="L191:M191">
    <cfRule type="cellIs" dxfId="229" priority="111" operator="lessThan">
      <formula>59</formula>
    </cfRule>
    <cfRule type="cellIs" dxfId="228" priority="112" operator="greaterThan">
      <formula>60</formula>
    </cfRule>
  </conditionalFormatting>
  <conditionalFormatting sqref="L193:M193">
    <cfRule type="cellIs" dxfId="225" priority="109" operator="lessThan">
      <formula>59</formula>
    </cfRule>
    <cfRule type="cellIs" dxfId="224" priority="110" operator="greaterThan">
      <formula>60</formula>
    </cfRule>
  </conditionalFormatting>
  <conditionalFormatting sqref="L193:M193">
    <cfRule type="cellIs" dxfId="221" priority="107" operator="lessThan">
      <formula>59</formula>
    </cfRule>
    <cfRule type="cellIs" dxfId="220" priority="108" operator="greaterThan">
      <formula>60</formula>
    </cfRule>
  </conditionalFormatting>
  <conditionalFormatting sqref="L191:M191">
    <cfRule type="cellIs" dxfId="217" priority="105" operator="lessThan">
      <formula>59</formula>
    </cfRule>
    <cfRule type="cellIs" dxfId="216" priority="106" operator="greaterThan">
      <formula>60</formula>
    </cfRule>
  </conditionalFormatting>
  <conditionalFormatting sqref="L191:M191">
    <cfRule type="cellIs" dxfId="213" priority="103" operator="lessThan">
      <formula>59</formula>
    </cfRule>
    <cfRule type="cellIs" dxfId="212" priority="104" operator="greaterThan">
      <formula>60</formula>
    </cfRule>
  </conditionalFormatting>
  <conditionalFormatting sqref="L191:M191">
    <cfRule type="cellIs" dxfId="209" priority="101" operator="lessThan">
      <formula>59</formula>
    </cfRule>
    <cfRule type="cellIs" dxfId="208" priority="102" operator="greaterThan">
      <formula>60</formula>
    </cfRule>
  </conditionalFormatting>
  <conditionalFormatting sqref="L191:M191">
    <cfRule type="cellIs" dxfId="205" priority="99" operator="lessThan">
      <formula>59</formula>
    </cfRule>
    <cfRule type="cellIs" dxfId="204" priority="100" operator="greaterThan">
      <formula>60</formula>
    </cfRule>
  </conditionalFormatting>
  <conditionalFormatting sqref="L193:M193">
    <cfRule type="cellIs" dxfId="201" priority="97" operator="lessThan">
      <formula>59</formula>
    </cfRule>
    <cfRule type="cellIs" dxfId="200" priority="98" operator="greaterThan">
      <formula>60</formula>
    </cfRule>
  </conditionalFormatting>
  <conditionalFormatting sqref="L193:M193">
    <cfRule type="cellIs" dxfId="197" priority="95" operator="lessThan">
      <formula>59</formula>
    </cfRule>
    <cfRule type="cellIs" dxfId="196" priority="96" operator="greaterThan">
      <formula>60</formula>
    </cfRule>
  </conditionalFormatting>
  <conditionalFormatting sqref="L193:M193">
    <cfRule type="cellIs" dxfId="193" priority="93" operator="lessThan">
      <formula>59</formula>
    </cfRule>
    <cfRule type="cellIs" dxfId="192" priority="94" operator="greaterThan">
      <formula>60</formula>
    </cfRule>
  </conditionalFormatting>
  <conditionalFormatting sqref="L193:M193">
    <cfRule type="cellIs" dxfId="189" priority="91" operator="lessThan">
      <formula>59</formula>
    </cfRule>
    <cfRule type="cellIs" dxfId="188" priority="92" operator="greaterThan">
      <formula>60</formula>
    </cfRule>
  </conditionalFormatting>
  <conditionalFormatting sqref="L193:M193">
    <cfRule type="cellIs" dxfId="185" priority="89" operator="lessThan">
      <formula>59</formula>
    </cfRule>
    <cfRule type="cellIs" dxfId="184" priority="90" operator="greaterThan">
      <formula>60</formula>
    </cfRule>
  </conditionalFormatting>
  <conditionalFormatting sqref="L193:M193">
    <cfRule type="cellIs" dxfId="181" priority="87" operator="lessThan">
      <formula>59</formula>
    </cfRule>
    <cfRule type="cellIs" dxfId="180" priority="88" operator="greaterThan">
      <formula>60</formula>
    </cfRule>
  </conditionalFormatting>
  <conditionalFormatting sqref="L193:M193">
    <cfRule type="cellIs" dxfId="177" priority="85" operator="lessThan">
      <formula>59</formula>
    </cfRule>
    <cfRule type="cellIs" dxfId="176" priority="86" operator="greaterThan">
      <formula>60</formula>
    </cfRule>
  </conditionalFormatting>
  <conditionalFormatting sqref="L193:M193">
    <cfRule type="cellIs" dxfId="173" priority="83" operator="lessThan">
      <formula>59</formula>
    </cfRule>
    <cfRule type="cellIs" dxfId="172" priority="84" operator="greaterThan">
      <formula>60</formula>
    </cfRule>
  </conditionalFormatting>
  <conditionalFormatting sqref="L191:M191">
    <cfRule type="cellIs" dxfId="169" priority="81" operator="lessThan">
      <formula>59</formula>
    </cfRule>
    <cfRule type="cellIs" dxfId="168" priority="82" operator="greaterThan">
      <formula>60</formula>
    </cfRule>
  </conditionalFormatting>
  <conditionalFormatting sqref="L191:M191">
    <cfRule type="cellIs" dxfId="165" priority="79" operator="lessThan">
      <formula>59</formula>
    </cfRule>
    <cfRule type="cellIs" dxfId="164" priority="80" operator="greaterThan">
      <formula>60</formula>
    </cfRule>
  </conditionalFormatting>
  <conditionalFormatting sqref="L191:M191">
    <cfRule type="cellIs" dxfId="161" priority="77" operator="lessThan">
      <formula>59</formula>
    </cfRule>
    <cfRule type="cellIs" dxfId="160" priority="78" operator="greaterThan">
      <formula>60</formula>
    </cfRule>
  </conditionalFormatting>
  <conditionalFormatting sqref="L191:M191">
    <cfRule type="cellIs" dxfId="157" priority="75" operator="lessThan">
      <formula>59</formula>
    </cfRule>
    <cfRule type="cellIs" dxfId="156" priority="76" operator="greaterThan">
      <formula>60</formula>
    </cfRule>
  </conditionalFormatting>
  <conditionalFormatting sqref="L191:M191">
    <cfRule type="cellIs" dxfId="153" priority="73" operator="lessThan">
      <formula>59</formula>
    </cfRule>
    <cfRule type="cellIs" dxfId="152" priority="74" operator="greaterThan">
      <formula>60</formula>
    </cfRule>
  </conditionalFormatting>
  <conditionalFormatting sqref="L191:M191">
    <cfRule type="cellIs" dxfId="149" priority="71" operator="lessThan">
      <formula>59</formula>
    </cfRule>
    <cfRule type="cellIs" dxfId="148" priority="72" operator="greaterThan">
      <formula>60</formula>
    </cfRule>
  </conditionalFormatting>
  <conditionalFormatting sqref="L191:M191">
    <cfRule type="cellIs" dxfId="145" priority="69" operator="lessThan">
      <formula>59</formula>
    </cfRule>
    <cfRule type="cellIs" dxfId="144" priority="70" operator="greaterThan">
      <formula>60</formula>
    </cfRule>
  </conditionalFormatting>
  <conditionalFormatting sqref="L191:M191">
    <cfRule type="cellIs" dxfId="141" priority="67" operator="lessThan">
      <formula>59</formula>
    </cfRule>
    <cfRule type="cellIs" dxfId="140" priority="68" operator="greaterThan">
      <formula>60</formula>
    </cfRule>
  </conditionalFormatting>
  <conditionalFormatting sqref="L191:M191">
    <cfRule type="cellIs" dxfId="137" priority="66" operator="greaterThan">
      <formula>60</formula>
    </cfRule>
  </conditionalFormatting>
  <conditionalFormatting sqref="L191:M191">
    <cfRule type="cellIs" dxfId="135" priority="63" stopIfTrue="1" operator="between">
      <formula>150</formula>
      <formula>170</formula>
    </cfRule>
    <cfRule type="cellIs" dxfId="134" priority="64" stopIfTrue="1" operator="lessThan">
      <formula>150</formula>
    </cfRule>
    <cfRule type="cellIs" dxfId="133" priority="65" stopIfTrue="1" operator="greaterThan">
      <formula>170</formula>
    </cfRule>
  </conditionalFormatting>
  <conditionalFormatting sqref="L191:M191">
    <cfRule type="cellIs" dxfId="129" priority="61" operator="lessThan">
      <formula>59</formula>
    </cfRule>
    <cfRule type="cellIs" dxfId="128" priority="62" operator="greaterThan">
      <formula>60</formula>
    </cfRule>
  </conditionalFormatting>
  <conditionalFormatting sqref="L191:M191">
    <cfRule type="cellIs" dxfId="125" priority="60" operator="greaterThan">
      <formula>60</formula>
    </cfRule>
  </conditionalFormatting>
  <conditionalFormatting sqref="L191:M191">
    <cfRule type="cellIs" dxfId="123" priority="57" stopIfTrue="1" operator="between">
      <formula>150</formula>
      <formula>170</formula>
    </cfRule>
    <cfRule type="cellIs" dxfId="122" priority="58" stopIfTrue="1" operator="lessThan">
      <formula>150</formula>
    </cfRule>
    <cfRule type="cellIs" dxfId="121" priority="59" stopIfTrue="1" operator="greaterThan">
      <formula>170</formula>
    </cfRule>
  </conditionalFormatting>
  <conditionalFormatting sqref="L191:M191">
    <cfRule type="cellIs" dxfId="117" priority="55" operator="lessThan">
      <formula>59</formula>
    </cfRule>
    <cfRule type="cellIs" dxfId="116" priority="56" operator="greaterThan">
      <formula>60</formula>
    </cfRule>
  </conditionalFormatting>
  <conditionalFormatting sqref="L191:M191">
    <cfRule type="cellIs" dxfId="113" priority="54" operator="greaterThan">
      <formula>60</formula>
    </cfRule>
  </conditionalFormatting>
  <conditionalFormatting sqref="L191:M191">
    <cfRule type="cellIs" dxfId="111" priority="51" stopIfTrue="1" operator="between">
      <formula>150</formula>
      <formula>170</formula>
    </cfRule>
    <cfRule type="cellIs" dxfId="110" priority="52" stopIfTrue="1" operator="lessThan">
      <formula>150</formula>
    </cfRule>
    <cfRule type="cellIs" dxfId="109" priority="53" stopIfTrue="1" operator="greaterThan">
      <formula>170</formula>
    </cfRule>
  </conditionalFormatting>
  <conditionalFormatting sqref="L191:M191">
    <cfRule type="cellIs" dxfId="105" priority="49" operator="lessThan">
      <formula>59</formula>
    </cfRule>
    <cfRule type="cellIs" dxfId="104" priority="50" operator="greaterThan">
      <formula>60</formula>
    </cfRule>
  </conditionalFormatting>
  <conditionalFormatting sqref="L191:M191">
    <cfRule type="cellIs" dxfId="101" priority="48" operator="greaterThan">
      <formula>60</formula>
    </cfRule>
  </conditionalFormatting>
  <conditionalFormatting sqref="L191:M191">
    <cfRule type="cellIs" dxfId="99" priority="46" operator="lessThan">
      <formula>59</formula>
    </cfRule>
    <cfRule type="cellIs" dxfId="98" priority="47" operator="greaterThan">
      <formula>60</formula>
    </cfRule>
  </conditionalFormatting>
  <conditionalFormatting sqref="L191:M191">
    <cfRule type="cellIs" dxfId="95" priority="45" operator="greaterThan">
      <formula>60</formula>
    </cfRule>
  </conditionalFormatting>
  <conditionalFormatting sqref="L191:M191">
    <cfRule type="cellIs" dxfId="93" priority="43" operator="lessThan">
      <formula>59</formula>
    </cfRule>
    <cfRule type="cellIs" dxfId="92" priority="44" operator="greaterThan">
      <formula>60</formula>
    </cfRule>
  </conditionalFormatting>
  <conditionalFormatting sqref="L191:M191">
    <cfRule type="cellIs" dxfId="89" priority="42" operator="greaterThan">
      <formula>60</formula>
    </cfRule>
  </conditionalFormatting>
  <conditionalFormatting sqref="L191:M191">
    <cfRule type="cellIs" dxfId="87" priority="39" stopIfTrue="1" operator="between">
      <formula>150</formula>
      <formula>170</formula>
    </cfRule>
    <cfRule type="cellIs" dxfId="86" priority="40" stopIfTrue="1" operator="lessThan">
      <formula>150</formula>
    </cfRule>
    <cfRule type="cellIs" dxfId="85" priority="41" stopIfTrue="1" operator="greaterThan">
      <formula>170</formula>
    </cfRule>
  </conditionalFormatting>
  <conditionalFormatting sqref="L191:M191">
    <cfRule type="cellIs" dxfId="81" priority="37" operator="lessThan">
      <formula>59</formula>
    </cfRule>
    <cfRule type="cellIs" dxfId="80" priority="38" operator="greaterThan">
      <formula>60</formula>
    </cfRule>
  </conditionalFormatting>
  <conditionalFormatting sqref="L191:M191">
    <cfRule type="cellIs" dxfId="77" priority="36" operator="greaterThan">
      <formula>60</formula>
    </cfRule>
  </conditionalFormatting>
  <conditionalFormatting sqref="L191:M191">
    <cfRule type="cellIs" dxfId="75" priority="34" operator="lessThan">
      <formula>59</formula>
    </cfRule>
    <cfRule type="cellIs" dxfId="74" priority="35" operator="greaterThan">
      <formula>60</formula>
    </cfRule>
  </conditionalFormatting>
  <conditionalFormatting sqref="L191:M191">
    <cfRule type="cellIs" dxfId="71" priority="33" operator="greaterThan">
      <formula>60</formula>
    </cfRule>
  </conditionalFormatting>
  <conditionalFormatting sqref="L191:M191">
    <cfRule type="cellIs" dxfId="69" priority="30" stopIfTrue="1" operator="between">
      <formula>150</formula>
      <formula>170</formula>
    </cfRule>
    <cfRule type="cellIs" dxfId="68" priority="31" stopIfTrue="1" operator="lessThan">
      <formula>150</formula>
    </cfRule>
    <cfRule type="cellIs" dxfId="67" priority="32" stopIfTrue="1" operator="greaterThan">
      <formula>170</formula>
    </cfRule>
  </conditionalFormatting>
  <conditionalFormatting sqref="L191:M191">
    <cfRule type="cellIs" dxfId="63" priority="28" operator="lessThan">
      <formula>59</formula>
    </cfRule>
    <cfRule type="cellIs" dxfId="62" priority="29" operator="greaterThan">
      <formula>60</formula>
    </cfRule>
  </conditionalFormatting>
  <conditionalFormatting sqref="L191:M191">
    <cfRule type="cellIs" dxfId="59" priority="27" operator="greaterThan">
      <formula>60</formula>
    </cfRule>
  </conditionalFormatting>
  <conditionalFormatting sqref="L191:M191">
    <cfRule type="cellIs" dxfId="57" priority="25" operator="lessThan">
      <formula>59</formula>
    </cfRule>
    <cfRule type="cellIs" dxfId="56" priority="26" operator="greaterThan">
      <formula>60</formula>
    </cfRule>
  </conditionalFormatting>
  <conditionalFormatting sqref="L191:M191">
    <cfRule type="cellIs" dxfId="53" priority="24" operator="greaterThan">
      <formula>60</formula>
    </cfRule>
  </conditionalFormatting>
  <conditionalFormatting sqref="L191:M191">
    <cfRule type="cellIs" dxfId="51" priority="21" stopIfTrue="1" operator="between">
      <formula>150</formula>
      <formula>170</formula>
    </cfRule>
    <cfRule type="cellIs" dxfId="50" priority="22" stopIfTrue="1" operator="lessThan">
      <formula>150</formula>
    </cfRule>
    <cfRule type="cellIs" dxfId="49" priority="23" stopIfTrue="1" operator="greaterThan">
      <formula>170</formula>
    </cfRule>
  </conditionalFormatting>
  <conditionalFormatting sqref="L191:M191">
    <cfRule type="cellIs" dxfId="45" priority="19" operator="lessThan">
      <formula>59</formula>
    </cfRule>
    <cfRule type="cellIs" dxfId="44" priority="20" operator="greaterThan">
      <formula>60</formula>
    </cfRule>
  </conditionalFormatting>
  <conditionalFormatting sqref="L191:M191">
    <cfRule type="cellIs" dxfId="41" priority="18" operator="greaterThan">
      <formula>60</formula>
    </cfRule>
  </conditionalFormatting>
  <conditionalFormatting sqref="L191:M191">
    <cfRule type="cellIs" dxfId="39" priority="16" operator="lessThan">
      <formula>59</formula>
    </cfRule>
    <cfRule type="cellIs" dxfId="38" priority="17" operator="greaterThan">
      <formula>60</formula>
    </cfRule>
  </conditionalFormatting>
  <conditionalFormatting sqref="L191:M191">
    <cfRule type="cellIs" dxfId="35" priority="15" operator="greaterThan">
      <formula>60</formula>
    </cfRule>
  </conditionalFormatting>
  <conditionalFormatting sqref="L191:M191">
    <cfRule type="cellIs" dxfId="33" priority="12" stopIfTrue="1" operator="between">
      <formula>150</formula>
      <formula>170</formula>
    </cfRule>
    <cfRule type="cellIs" dxfId="32" priority="13" stopIfTrue="1" operator="lessThan">
      <formula>150</formula>
    </cfRule>
    <cfRule type="cellIs" dxfId="31" priority="14" stopIfTrue="1" operator="greaterThan">
      <formula>170</formula>
    </cfRule>
  </conditionalFormatting>
  <conditionalFormatting sqref="L191:M191">
    <cfRule type="cellIs" dxfId="27" priority="10" operator="lessThan">
      <formula>59</formula>
    </cfRule>
    <cfRule type="cellIs" dxfId="26" priority="11" operator="greaterThan">
      <formula>60</formula>
    </cfRule>
  </conditionalFormatting>
  <conditionalFormatting sqref="L191:M191">
    <cfRule type="cellIs" dxfId="23" priority="9" operator="greaterThan">
      <formula>60</formula>
    </cfRule>
  </conditionalFormatting>
  <conditionalFormatting sqref="L191:M191">
    <cfRule type="cellIs" dxfId="21" priority="7" operator="lessThan">
      <formula>59</formula>
    </cfRule>
    <cfRule type="cellIs" dxfId="20" priority="8" operator="greaterThan">
      <formula>60</formula>
    </cfRule>
  </conditionalFormatting>
  <conditionalFormatting sqref="L191:M191">
    <cfRule type="cellIs" dxfId="17" priority="6" operator="greaterThan">
      <formula>60</formula>
    </cfRule>
  </conditionalFormatting>
  <conditionalFormatting sqref="L191:M191">
    <cfRule type="cellIs" dxfId="15" priority="3" stopIfTrue="1" operator="between">
      <formula>150</formula>
      <formula>170</formula>
    </cfRule>
    <cfRule type="cellIs" dxfId="14" priority="4" stopIfTrue="1" operator="lessThan">
      <formula>150</formula>
    </cfRule>
    <cfRule type="cellIs" dxfId="13" priority="5" stopIfTrue="1" operator="greaterThan">
      <formula>170</formula>
    </cfRule>
  </conditionalFormatting>
  <conditionalFormatting sqref="L191:M191">
    <cfRule type="cellIs" dxfId="9" priority="1" operator="lessThan">
      <formula>59</formula>
    </cfRule>
    <cfRule type="cellIs" dxfId="8" priority="2" operator="greaterThan">
      <formula>60</formula>
    </cfRule>
  </conditionalFormatting>
  <pageMargins left="0.15748031496062992" right="0.15748031496062992" top="0.23622047244094491" bottom="0.19685039370078741" header="0.19685039370078741" footer="0.15748031496062992"/>
  <pageSetup scale="7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12"/>
  <sheetViews>
    <sheetView workbookViewId="0">
      <selection activeCell="I37" sqref="I37"/>
    </sheetView>
  </sheetViews>
  <sheetFormatPr defaultRowHeight="12.75"/>
  <cols>
    <col min="1" max="1" width="3.85546875" style="129" customWidth="1"/>
    <col min="2" max="2" width="14.42578125" style="129" bestFit="1" customWidth="1"/>
    <col min="3" max="3" width="10.7109375" style="129" bestFit="1" customWidth="1"/>
    <col min="4" max="4" width="15" style="129" customWidth="1"/>
    <col min="5" max="5" width="19.28515625" style="129" customWidth="1"/>
    <col min="6" max="6" width="20.28515625" style="129" customWidth="1"/>
    <col min="7" max="7" width="14.7109375" style="129" customWidth="1"/>
    <col min="8" max="8" width="6.42578125" style="129" bestFit="1" customWidth="1"/>
    <col min="9" max="9" width="20.42578125" style="129" bestFit="1" customWidth="1"/>
    <col min="10" max="10" width="8.42578125" style="129" bestFit="1" customWidth="1"/>
    <col min="11" max="11" width="7.140625" style="129" bestFit="1" customWidth="1"/>
    <col min="12" max="12" width="15.140625" style="129" customWidth="1"/>
    <col min="13" max="13" width="12.85546875" style="129" bestFit="1" customWidth="1"/>
    <col min="14" max="14" width="14.28515625" style="129" bestFit="1" customWidth="1"/>
    <col min="15" max="15" width="10" style="129" bestFit="1" customWidth="1"/>
    <col min="16" max="16" width="6.42578125" style="129" bestFit="1" customWidth="1"/>
    <col min="17" max="17" width="7.5703125" style="129" bestFit="1" customWidth="1"/>
    <col min="18" max="18" width="29.140625" style="129" bestFit="1" customWidth="1"/>
    <col min="19" max="16384" width="9.140625" style="129"/>
  </cols>
  <sheetData>
    <row r="2" spans="1:18" s="93" customFormat="1" ht="18" customHeight="1">
      <c r="B2" s="268" t="s">
        <v>48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70"/>
      <c r="N2" s="268" t="s">
        <v>63</v>
      </c>
      <c r="O2" s="269"/>
      <c r="P2" s="269"/>
      <c r="Q2" s="269"/>
    </row>
    <row r="3" spans="1:18" s="93" customFormat="1" ht="18" customHeight="1">
      <c r="B3" s="94"/>
      <c r="C3" s="95"/>
      <c r="D3" s="94"/>
      <c r="E3" s="95"/>
      <c r="F3" s="94"/>
      <c r="G3" s="96"/>
      <c r="H3" s="94"/>
      <c r="I3" s="97"/>
      <c r="J3" s="94"/>
      <c r="K3" s="94"/>
      <c r="L3" s="94"/>
      <c r="M3" s="98">
        <f ca="1">+NOW()</f>
        <v>46270.550292708336</v>
      </c>
      <c r="N3" s="99"/>
      <c r="O3" s="95"/>
      <c r="P3" s="94"/>
      <c r="Q3" s="94"/>
    </row>
    <row r="4" spans="1:18" s="100" customFormat="1" ht="30.75" thickBot="1">
      <c r="B4" s="101" t="s">
        <v>43</v>
      </c>
      <c r="C4" s="102" t="s">
        <v>1</v>
      </c>
      <c r="D4" s="101" t="s">
        <v>6</v>
      </c>
      <c r="E4" s="102" t="s">
        <v>51</v>
      </c>
      <c r="F4" s="101" t="s">
        <v>52</v>
      </c>
      <c r="G4" s="101" t="s">
        <v>32</v>
      </c>
      <c r="H4" s="101" t="s">
        <v>44</v>
      </c>
      <c r="I4" s="103" t="s">
        <v>26</v>
      </c>
      <c r="J4" s="101" t="s">
        <v>45</v>
      </c>
      <c r="K4" s="101" t="s">
        <v>23</v>
      </c>
      <c r="L4" s="101" t="s">
        <v>17</v>
      </c>
      <c r="M4" s="101" t="s">
        <v>33</v>
      </c>
      <c r="N4" s="101" t="s">
        <v>49</v>
      </c>
      <c r="O4" s="102" t="s">
        <v>1</v>
      </c>
      <c r="P4" s="101" t="s">
        <v>44</v>
      </c>
      <c r="Q4" s="101" t="s">
        <v>45</v>
      </c>
    </row>
    <row r="5" spans="1:18" s="93" customFormat="1" ht="18" customHeight="1" thickBot="1">
      <c r="B5" s="104"/>
      <c r="C5" s="105"/>
      <c r="D5" s="105"/>
      <c r="E5" s="105"/>
      <c r="F5" s="105"/>
      <c r="G5" s="271" t="s">
        <v>46</v>
      </c>
      <c r="H5" s="272"/>
      <c r="I5" s="273"/>
      <c r="J5" s="105"/>
      <c r="K5" s="105"/>
      <c r="L5" s="105"/>
      <c r="M5" s="105"/>
      <c r="N5" s="105"/>
      <c r="O5" s="105"/>
      <c r="P5" s="105"/>
      <c r="Q5" s="105"/>
    </row>
    <row r="6" spans="1:18" s="118" customFormat="1" ht="15.75" customHeight="1">
      <c r="A6" s="106"/>
      <c r="B6" s="107" t="s">
        <v>50</v>
      </c>
      <c r="C6" s="108">
        <v>45713</v>
      </c>
      <c r="D6" s="108">
        <v>45744</v>
      </c>
      <c r="E6" s="109">
        <v>1902692</v>
      </c>
      <c r="F6" s="108">
        <v>45722</v>
      </c>
      <c r="G6" s="109" t="s">
        <v>53</v>
      </c>
      <c r="H6" s="110">
        <v>3</v>
      </c>
      <c r="I6" s="111" t="s">
        <v>56</v>
      </c>
      <c r="J6" s="107">
        <v>22080</v>
      </c>
      <c r="K6" s="112">
        <v>1.04</v>
      </c>
      <c r="L6" s="113">
        <f>+J6*K6</f>
        <v>22963.200000000001</v>
      </c>
      <c r="M6" s="114">
        <f ca="1">$M$3-C6</f>
        <v>557.5502927083362</v>
      </c>
      <c r="N6" s="115" t="s">
        <v>61</v>
      </c>
      <c r="O6" s="116">
        <v>45758</v>
      </c>
      <c r="P6" s="117">
        <v>3</v>
      </c>
      <c r="Q6" s="117">
        <v>22080</v>
      </c>
      <c r="R6" s="93"/>
    </row>
    <row r="7" spans="1:18" s="118" customFormat="1" ht="15.75" customHeight="1">
      <c r="A7" s="106"/>
      <c r="B7" s="107" t="s">
        <v>54</v>
      </c>
      <c r="C7" s="108">
        <v>45713</v>
      </c>
      <c r="D7" s="108">
        <v>45744</v>
      </c>
      <c r="E7" s="109">
        <v>1902690</v>
      </c>
      <c r="F7" s="108">
        <v>45722</v>
      </c>
      <c r="G7" s="109" t="s">
        <v>53</v>
      </c>
      <c r="H7" s="110">
        <v>6</v>
      </c>
      <c r="I7" s="111" t="s">
        <v>47</v>
      </c>
      <c r="J7" s="107">
        <v>54400</v>
      </c>
      <c r="K7" s="112">
        <v>1.04</v>
      </c>
      <c r="L7" s="113">
        <f>+J7*K7</f>
        <v>56576</v>
      </c>
      <c r="M7" s="114">
        <f ca="1">$M$3-C7</f>
        <v>557.5502927083362</v>
      </c>
      <c r="N7" s="115" t="s">
        <v>61</v>
      </c>
      <c r="O7" s="116">
        <v>45758</v>
      </c>
      <c r="P7" s="117">
        <v>6</v>
      </c>
      <c r="Q7" s="117">
        <v>54400</v>
      </c>
      <c r="R7" s="93"/>
    </row>
    <row r="8" spans="1:18" s="118" customFormat="1" ht="15.75" customHeight="1">
      <c r="A8" s="106"/>
      <c r="B8" s="107" t="s">
        <v>55</v>
      </c>
      <c r="C8" s="108">
        <v>45713</v>
      </c>
      <c r="D8" s="108">
        <v>45744</v>
      </c>
      <c r="E8" s="109">
        <v>1902689</v>
      </c>
      <c r="F8" s="108">
        <v>45722</v>
      </c>
      <c r="G8" s="109" t="s">
        <v>53</v>
      </c>
      <c r="H8" s="110">
        <v>3</v>
      </c>
      <c r="I8" s="111" t="s">
        <v>47</v>
      </c>
      <c r="J8" s="107">
        <v>27200</v>
      </c>
      <c r="K8" s="112">
        <v>1.04</v>
      </c>
      <c r="L8" s="113">
        <f>+J8*K8</f>
        <v>28288</v>
      </c>
      <c r="M8" s="114">
        <f ca="1">$M$3-C8</f>
        <v>557.5502927083362</v>
      </c>
      <c r="N8" s="115" t="s">
        <v>61</v>
      </c>
      <c r="O8" s="116">
        <v>45758</v>
      </c>
      <c r="P8" s="117">
        <v>3</v>
      </c>
      <c r="Q8" s="117">
        <v>27200</v>
      </c>
      <c r="R8" s="93"/>
    </row>
    <row r="9" spans="1:18" s="93" customFormat="1" ht="15.75" customHeight="1">
      <c r="A9" s="119"/>
      <c r="B9" s="94"/>
      <c r="C9" s="95"/>
      <c r="D9" s="95"/>
      <c r="E9" s="95"/>
      <c r="F9" s="95"/>
      <c r="G9" s="94"/>
      <c r="H9" s="120"/>
      <c r="I9" s="97"/>
      <c r="J9" s="120"/>
      <c r="K9" s="120"/>
      <c r="L9" s="121"/>
      <c r="M9" s="122"/>
      <c r="N9" s="123"/>
      <c r="O9" s="124"/>
      <c r="P9" s="94"/>
      <c r="Q9" s="94"/>
    </row>
    <row r="10" spans="1:18" s="93" customFormat="1" ht="15.75" customHeight="1">
      <c r="B10" s="274" t="s">
        <v>11</v>
      </c>
      <c r="C10" s="275"/>
      <c r="D10" s="275"/>
      <c r="E10" s="275"/>
      <c r="F10" s="275"/>
      <c r="G10" s="276"/>
      <c r="H10" s="125">
        <f>SUM(H6:H9)</f>
        <v>12</v>
      </c>
      <c r="I10" s="126"/>
      <c r="J10" s="125">
        <f>SUM(J6:J9)</f>
        <v>103680</v>
      </c>
      <c r="K10" s="125"/>
      <c r="L10" s="127">
        <f>SUM(L6:L9)</f>
        <v>107827.2</v>
      </c>
      <c r="M10" s="128"/>
      <c r="N10" s="125" t="s">
        <v>11</v>
      </c>
      <c r="O10" s="125"/>
      <c r="P10" s="125">
        <f>SUM(P6:P9)</f>
        <v>12</v>
      </c>
      <c r="Q10" s="125">
        <f>SUM(Q6:Q9)</f>
        <v>103680</v>
      </c>
    </row>
    <row r="11" spans="1:18" s="118" customFormat="1" ht="15.75" customHeight="1">
      <c r="A11" s="106"/>
      <c r="B11" s="107">
        <v>3117</v>
      </c>
      <c r="C11" s="108">
        <v>45667</v>
      </c>
      <c r="D11" s="108">
        <v>45673</v>
      </c>
      <c r="E11" s="109" t="s">
        <v>60</v>
      </c>
      <c r="F11" s="108" t="s">
        <v>60</v>
      </c>
      <c r="G11" s="131" t="s">
        <v>57</v>
      </c>
      <c r="H11" s="132">
        <v>1</v>
      </c>
      <c r="I11" s="133" t="s">
        <v>58</v>
      </c>
      <c r="J11" s="130">
        <v>3510</v>
      </c>
      <c r="K11" s="134">
        <v>1.26</v>
      </c>
      <c r="L11" s="113">
        <f>+J11*K11</f>
        <v>4422.6000000000004</v>
      </c>
      <c r="M11" s="114">
        <f ca="1">$M$3-C11</f>
        <v>603.5502927083362</v>
      </c>
      <c r="N11" s="115" t="s">
        <v>62</v>
      </c>
      <c r="O11" s="116">
        <v>45758</v>
      </c>
      <c r="P11" s="117">
        <v>1</v>
      </c>
      <c r="Q11" s="117">
        <v>3510</v>
      </c>
      <c r="R11" s="135" t="s">
        <v>59</v>
      </c>
    </row>
    <row r="12" spans="1:18">
      <c r="N12" s="125" t="s">
        <v>11</v>
      </c>
      <c r="O12" s="125"/>
      <c r="P12" s="125">
        <f>SUM(P8:P11)</f>
        <v>16</v>
      </c>
      <c r="Q12" s="125">
        <f>SUM(Q8:Q11)</f>
        <v>134390</v>
      </c>
    </row>
  </sheetData>
  <mergeCells count="4">
    <mergeCell ref="B2:M2"/>
    <mergeCell ref="N2:Q2"/>
    <mergeCell ref="G5:I5"/>
    <mergeCell ref="B10:G10"/>
  </mergeCells>
  <conditionalFormatting sqref="M2:M11">
    <cfRule type="cellIs" dxfId="729" priority="20" operator="greaterThan">
      <formula>60</formula>
    </cfRule>
  </conditionalFormatting>
  <conditionalFormatting sqref="M6:M11">
    <cfRule type="cellIs" dxfId="728" priority="17" stopIfTrue="1" operator="between">
      <formula>150</formula>
      <formula>170</formula>
    </cfRule>
    <cfRule type="cellIs" dxfId="727" priority="18" stopIfTrue="1" operator="lessThan">
      <formula>150</formula>
    </cfRule>
    <cfRule type="cellIs" dxfId="726" priority="19" stopIfTrue="1" operator="greaterThan">
      <formula>170</formula>
    </cfRule>
  </conditionalFormatting>
  <pageMargins left="0.70866141732283472" right="0.70866141732283472" top="0.74803149606299213" bottom="0.74803149606299213" header="0.31496062992125984" footer="0.31496062992125984"/>
  <pageSetup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R8"/>
  <sheetViews>
    <sheetView zoomScale="80" zoomScaleNormal="80" workbookViewId="0">
      <pane ySplit="5" topLeftCell="A6" activePane="bottomLeft" state="frozen"/>
      <selection pane="bottomLeft" activeCell="B17" sqref="B17"/>
    </sheetView>
  </sheetViews>
  <sheetFormatPr defaultColWidth="9.140625" defaultRowHeight="18" customHeight="1"/>
  <cols>
    <col min="1" max="1" width="2.5703125" style="59" customWidth="1"/>
    <col min="2" max="2" width="39.5703125" style="58" bestFit="1" customWidth="1"/>
    <col min="3" max="3" width="22.7109375" style="59" bestFit="1" customWidth="1"/>
    <col min="4" max="4" width="30.140625" style="60" customWidth="1"/>
    <col min="5" max="5" width="14.7109375" style="59" customWidth="1"/>
    <col min="6" max="6" width="14" style="59" customWidth="1"/>
    <col min="7" max="7" width="17.85546875" style="59" customWidth="1"/>
    <col min="8" max="8" width="17.42578125" style="61" customWidth="1"/>
    <col min="9" max="9" width="17.28515625" style="59" customWidth="1"/>
    <col min="10" max="10" width="11.5703125" style="91" customWidth="1"/>
    <col min="11" max="11" width="12.5703125" style="92" customWidth="1"/>
    <col min="12" max="12" width="18.85546875" style="59" customWidth="1"/>
    <col min="13" max="14" width="16.42578125" style="59" customWidth="1"/>
    <col min="15" max="15" width="14.85546875" style="59" customWidth="1"/>
    <col min="16" max="16" width="16.85546875" style="62" customWidth="1"/>
    <col min="17" max="17" width="31.7109375" style="66" customWidth="1"/>
    <col min="18" max="18" width="13.42578125" style="64" bestFit="1" customWidth="1"/>
    <col min="19" max="16384" width="9.140625" style="59"/>
  </cols>
  <sheetData>
    <row r="1" spans="2:18" ht="33" customHeight="1">
      <c r="I1" s="61"/>
      <c r="J1" s="61"/>
      <c r="K1" s="61"/>
      <c r="L1" s="61"/>
      <c r="M1" s="61"/>
      <c r="N1" s="61"/>
      <c r="O1" s="61"/>
      <c r="Q1" s="63"/>
    </row>
    <row r="2" spans="2:18" ht="18" customHeight="1">
      <c r="I2" s="65"/>
      <c r="J2" s="65"/>
      <c r="K2" s="65"/>
      <c r="L2" s="65"/>
      <c r="M2" s="65"/>
      <c r="N2" s="65"/>
      <c r="O2" s="65"/>
    </row>
    <row r="3" spans="2:18" s="68" customFormat="1" ht="18" customHeight="1">
      <c r="B3" s="277" t="s">
        <v>42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67"/>
    </row>
    <row r="4" spans="2:18" s="68" customFormat="1" ht="18" customHeight="1">
      <c r="B4" s="69"/>
      <c r="C4" s="70"/>
      <c r="D4" s="71"/>
      <c r="E4" s="70"/>
      <c r="F4" s="70"/>
      <c r="G4" s="70"/>
      <c r="H4" s="72"/>
      <c r="I4" s="70"/>
      <c r="J4" s="73"/>
      <c r="K4" s="74"/>
      <c r="L4" s="70"/>
      <c r="M4" s="70"/>
      <c r="N4" s="70"/>
      <c r="O4" s="70"/>
      <c r="P4" s="75">
        <f ca="1">+NOW()</f>
        <v>46270.550292708336</v>
      </c>
      <c r="Q4" s="76"/>
      <c r="R4" s="67"/>
    </row>
    <row r="5" spans="2:18" s="82" customFormat="1" ht="25.5">
      <c r="B5" s="77" t="s">
        <v>32</v>
      </c>
      <c r="C5" s="77" t="s">
        <v>34</v>
      </c>
      <c r="D5" s="78" t="s">
        <v>35</v>
      </c>
      <c r="E5" s="77" t="s">
        <v>36</v>
      </c>
      <c r="F5" s="77" t="s">
        <v>37</v>
      </c>
      <c r="G5" s="77" t="s">
        <v>4</v>
      </c>
      <c r="H5" s="79" t="s">
        <v>38</v>
      </c>
      <c r="I5" s="77" t="s">
        <v>39</v>
      </c>
      <c r="J5" s="77" t="s">
        <v>40</v>
      </c>
      <c r="K5" s="80" t="s">
        <v>15</v>
      </c>
      <c r="L5" s="77" t="s">
        <v>17</v>
      </c>
      <c r="M5" s="77" t="s">
        <v>27</v>
      </c>
      <c r="N5" s="77" t="s">
        <v>28</v>
      </c>
      <c r="O5" s="77" t="s">
        <v>41</v>
      </c>
      <c r="P5" s="77" t="s">
        <v>33</v>
      </c>
      <c r="Q5" s="77" t="s">
        <v>18</v>
      </c>
      <c r="R5" s="81"/>
    </row>
    <row r="6" spans="2:18" s="68" customFormat="1" ht="23.25" customHeight="1">
      <c r="B6" s="83"/>
      <c r="C6" s="70"/>
      <c r="D6" s="84"/>
      <c r="E6" s="70"/>
      <c r="F6" s="84"/>
      <c r="G6" s="85"/>
      <c r="H6" s="86"/>
      <c r="I6" s="71"/>
      <c r="J6" s="73"/>
      <c r="K6" s="74"/>
      <c r="L6" s="38">
        <f>+J6*K6</f>
        <v>0</v>
      </c>
      <c r="M6" s="38">
        <f>+L6*9%</f>
        <v>0</v>
      </c>
      <c r="N6" s="38">
        <f>+L6*9%</f>
        <v>0</v>
      </c>
      <c r="O6" s="38">
        <f>ROUND(SUM(L6+M6+N6),0)</f>
        <v>0</v>
      </c>
      <c r="P6" s="87">
        <f ca="1">+$P$4-I6</f>
        <v>46270.550292708336</v>
      </c>
      <c r="Q6" s="88"/>
      <c r="R6" s="67"/>
    </row>
    <row r="7" spans="2:18" s="68" customFormat="1" ht="18" customHeight="1">
      <c r="B7" s="69"/>
      <c r="C7" s="70"/>
      <c r="D7" s="71"/>
      <c r="E7" s="70"/>
      <c r="F7" s="70"/>
      <c r="G7" s="70"/>
      <c r="H7" s="72"/>
      <c r="I7" s="71"/>
      <c r="J7" s="73"/>
      <c r="K7" s="74"/>
      <c r="L7" s="74"/>
      <c r="M7" s="70"/>
      <c r="N7" s="70"/>
      <c r="O7" s="70"/>
      <c r="P7" s="87"/>
      <c r="Q7" s="76"/>
      <c r="R7" s="67"/>
    </row>
    <row r="8" spans="2:18" s="68" customFormat="1" ht="18" customHeight="1">
      <c r="B8" s="278" t="s">
        <v>11</v>
      </c>
      <c r="C8" s="278"/>
      <c r="D8" s="278"/>
      <c r="E8" s="278"/>
      <c r="F8" s="278"/>
      <c r="G8" s="278"/>
      <c r="H8" s="278"/>
      <c r="I8" s="278"/>
      <c r="J8" s="89">
        <f>SUM(J6:J7)</f>
        <v>0</v>
      </c>
      <c r="K8" s="90"/>
      <c r="L8" s="90">
        <f>SUM(L6:L7)</f>
        <v>0</v>
      </c>
      <c r="M8" s="90">
        <f>SUM(M6:M7)</f>
        <v>0</v>
      </c>
      <c r="N8" s="90"/>
      <c r="O8" s="90">
        <f>SUM(O6:O7)</f>
        <v>0</v>
      </c>
      <c r="P8" s="90"/>
      <c r="Q8" s="76"/>
      <c r="R8" s="67"/>
    </row>
  </sheetData>
  <autoFilter ref="B5:Q8"/>
  <mergeCells count="2">
    <mergeCell ref="B3:Q3"/>
    <mergeCell ref="B8:I8"/>
  </mergeCell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Receipt</vt:lpstr>
      <vt:lpstr>SKF Sales</vt:lpstr>
      <vt:lpstr>SKF STOCK</vt:lpstr>
      <vt:lpstr>Manu Inv Wise Stock</vt:lpstr>
      <vt:lpstr>REJECTION DETAIL</vt:lpstr>
      <vt:lpstr>REJECTION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2025-09-11T08:34:01Z</cp:lastPrinted>
  <dcterms:created xsi:type="dcterms:W3CDTF">1996-10-14T23:33:28Z</dcterms:created>
  <dcterms:modified xsi:type="dcterms:W3CDTF">2026-09-05T07:42:28Z</dcterms:modified>
</cp:coreProperties>
</file>